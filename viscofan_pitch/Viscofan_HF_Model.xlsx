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Scenarios" sheetId="2" state="visible" r:id="rId4"/>
    <sheet name="DCF" sheetId="3" state="visible" r:id="rId5"/>
    <sheet name="Sensitivity" sheetId="4" state="visible" r:id="rId6"/>
    <sheet name="1H26 Data" sheetId="5" state="visible" r:id="rId7"/>
    <sheet name="Peer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<sst xmlns="http://schemas.openxmlformats.org/spreadsheetml/2006/main" count="306" uniqueCount="263">
  <si>
    <t xml:space="preserve">Viscofan (BME:VIS) – Inputs (€M unless stated)</t>
  </si>
  <si>
    <t xml:space="preserve">Blue = hard-coded input · Black = formula · Green = link to another sheet · Yellow = key assumption</t>
  </si>
  <si>
    <t xml:space="preserve">Market data (valuation date 1 Oct 2026)</t>
  </si>
  <si>
    <t xml:space="preserve">Share price (€)</t>
  </si>
  <si>
    <t xml:space="preserve">Team: Capital IQ quote, 1 Oct 2026</t>
  </si>
  <si>
    <t xml:space="preserve">Diluted shares (M)</t>
  </si>
  <si>
    <t xml:space="preserve">Capital IQ consensus avg. diluted shares FY26E (4 of 4 analysts); range 45.3M–47.0M</t>
  </si>
  <si>
    <t xml:space="preserve">Market capitalisation</t>
  </si>
  <si>
    <t xml:space="preserve">Price × diluted shares</t>
  </si>
  <si>
    <t xml:space="preserve">Total debt (US$M, Capital IQ LTM)</t>
  </si>
  <si>
    <t xml:space="preserve">S&amp;P Capital IQ Financials, LTM 30 Jun 2026 (Prompt 2, §1.2) – incl. leases and other financial liabilities</t>
  </si>
  <si>
    <t xml:space="preserve">Cash &amp; equivalents (US$M, Capital IQ)</t>
  </si>
  <si>
    <t xml:space="preserve">S&amp;P Capital IQ Financials, LTM 30 Jun 2026 (Prompt 2, §1.2)</t>
  </si>
  <si>
    <t xml:space="preserve">Cash &amp; equivalents (€M, balance sheet)</t>
  </si>
  <si>
    <t xml:space="preserve">Viscofan H1 2026 Financial Supplement, balance sheet 30 Jun 2026 (Prompt 2, §1.1)</t>
  </si>
  <si>
    <t xml:space="preserve">Implied USD per EUR used by Capital IQ</t>
  </si>
  <si>
    <t xml:space="preserve">Cash in US$ ÷ cash in € – converts CIQ debt back to € on the same basis</t>
  </si>
  <si>
    <t xml:space="preserve">Total debt (€M)</t>
  </si>
  <si>
    <t xml:space="preserve">CIQ total debt converted at implied rate</t>
  </si>
  <si>
    <t xml:space="preserve">Net debt incl. leases (€M)</t>
  </si>
  <si>
    <t xml:space="preserve">Used for EV → equity bridge (conservative vs company 'net bank debt')</t>
  </si>
  <si>
    <t xml:space="preserve">Memo: net bank debt, company definition (€M)</t>
  </si>
  <si>
    <t xml:space="preserve">Viscofan 1H26 results presentation p.12 (Jun 2026); Dec 2025: €206.1M</t>
  </si>
  <si>
    <t xml:space="preserve">Enterprise value (€M)</t>
  </si>
  <si>
    <t xml:space="preserve">Market cap + net debt</t>
  </si>
  <si>
    <t xml:space="preserve">Reported earnings (€M)</t>
  </si>
  <si>
    <t xml:space="preserve">FY2025A revenue</t>
  </si>
  <si>
    <t xml:space="preserve">FY2025 earnings release 25 Feb 2026 (Prompt 2, §2.3)</t>
  </si>
  <si>
    <t xml:space="preserve">1H2025 revenue</t>
  </si>
  <si>
    <t xml:space="preserve">1H26 results presentation p.3/p.14</t>
  </si>
  <si>
    <t xml:space="preserve">1H2026 revenue</t>
  </si>
  <si>
    <t xml:space="preserve">LTM Jun-26 revenue</t>
  </si>
  <si>
    <t xml:space="preserve">FY25 − 1H25 + 1H26</t>
  </si>
  <si>
    <t xml:space="preserve">FY2025A EBITDA</t>
  </si>
  <si>
    <t xml:space="preserve">FY2025 earnings release (Prompt 2, §2.3)</t>
  </si>
  <si>
    <t xml:space="preserve">1H2025 EBITDA</t>
  </si>
  <si>
    <t xml:space="preserve">1H26 results presentation p.14</t>
  </si>
  <si>
    <t xml:space="preserve">1H2026 EBITDA</t>
  </si>
  <si>
    <t xml:space="preserve">LTM Jun-26 EBITDA</t>
  </si>
  <si>
    <t xml:space="preserve">LTM EBITDA margin</t>
  </si>
  <si>
    <t xml:space="preserve">Formula</t>
  </si>
  <si>
    <t xml:space="preserve">EV / LTM EBITDA (x)</t>
  </si>
  <si>
    <t xml:space="preserve">Cross-check: Capital IQ trailing TEV/EBITDA 9.94x (Prompt 1, §5.2)</t>
  </si>
  <si>
    <t xml:space="preserve">Net debt / LTM EBITDA (x)</t>
  </si>
  <si>
    <t xml:space="preserve">Net bank debt / LTM EBITDA (x)</t>
  </si>
  <si>
    <t xml:space="preserve">Company definition; Dec-25: 206.1/290.0 = 0.71x</t>
  </si>
  <si>
    <t xml:space="preserve">Consensus – S&amp;P Capital IQ Estimates (€)</t>
  </si>
  <si>
    <t xml:space="preserve">FY2026E</t>
  </si>
  <si>
    <t xml:space="preserve">FY2027E</t>
  </si>
  <si>
    <t xml:space="preserve">FY2028E</t>
  </si>
  <si>
    <t xml:space="preserve">EBITDA (€M)</t>
  </si>
  <si>
    <t xml:space="preserve">Team: Capital IQ consensus in EUR (9 of 9 analysts)</t>
  </si>
  <si>
    <t xml:space="preserve">Dividend per share (€)</t>
  </si>
  <si>
    <t xml:space="preserve">Team: Capital IQ consensus (7–8 of 9). ~94% payout in FY26E → likely includes extraordinary component</t>
  </si>
  <si>
    <t xml:space="preserve"># analysts (EBITDA)</t>
  </si>
  <si>
    <t xml:space="preserve">Consensus target price (€)</t>
  </si>
  <si>
    <t xml:space="preserve">S&amp;P Capital IQ Estimates; 10 analysts, 5 Buy / 2 Outperform / 3 Hold / 0 Sell (Prompt 1, §4.4)</t>
  </si>
  <si>
    <t xml:space="preserve">Upside to consensus target</t>
  </si>
  <si>
    <t xml:space="preserve">Trade parameters (team assumptions)</t>
  </si>
  <si>
    <t xml:space="preserve">Investment horizon (years)</t>
  </si>
  <si>
    <t xml:space="preserve">Team: 18–24 months → mid-point 21 months (exit ~mid-2028)</t>
  </si>
  <si>
    <t xml:space="preserve">Stop-loss (% below entry)</t>
  </si>
  <si>
    <t xml:space="preserve">Team assumption – sits above bear-case value</t>
  </si>
  <si>
    <t xml:space="preserve">Stop-loss price (€)</t>
  </si>
  <si>
    <t xml:space="preserve">FX overlay: share of position hedged (sell USD fwd vs EUR)</t>
  </si>
  <si>
    <t xml:space="preserve">Team: ≈ North America share of revenue (31%, 1H26 pres. p.5). Protects against USD weakness</t>
  </si>
  <si>
    <t xml:space="preserve">Bear / Base / Bull – exit valuation on FY2027E EBITDA (€)</t>
  </si>
  <si>
    <t xml:space="preserve">Exit EV/EBITDA applied to FY27E EBITDA; net debt held flat (FY27 FCF ≈ dividends). No control premium (one share).</t>
  </si>
  <si>
    <t xml:space="preserve">Bear</t>
  </si>
  <si>
    <t xml:space="preserve">Base</t>
  </si>
  <si>
    <t xml:space="preserve">Bull</t>
  </si>
  <si>
    <t xml:space="preserve">Driver / source</t>
  </si>
  <si>
    <t xml:space="preserve">Probability</t>
  </si>
  <si>
    <t xml:space="preserve">Team assumption (tilted to bull: Hormuz normalisation + H2 price increases)</t>
  </si>
  <si>
    <t xml:space="preserve">FY2027E EBITDA (€M)</t>
  </si>
  <si>
    <t xml:space="preserve">Bear ≈ LTM (€279M) + modest growth; Base 4% below consensus €328M; Bull above consensus incl. Health/Pet</t>
  </si>
  <si>
    <t xml:space="preserve">Exit EV / EBITDA (x)</t>
  </si>
  <si>
    <t xml:space="preserve">Bear ≈ peer median ~7.5–8x (Prompt 2 §6.4); Base = today's 10.0x (no re-rating); Bull = quality premium</t>
  </si>
  <si>
    <t xml:space="preserve">Implied enterprise value (€M)</t>
  </si>
  <si>
    <t xml:space="preserve">Less: net debt (€M)</t>
  </si>
  <si>
    <t xml:space="preserve">Equity value (€M)</t>
  </si>
  <si>
    <t xml:space="preserve">Value per share (€)</t>
  </si>
  <si>
    <t xml:space="preserve">Upside / (downside) vs €53.70</t>
  </si>
  <si>
    <t xml:space="preserve">EBITDA vs consensus FY27E</t>
  </si>
  <si>
    <t xml:space="preserve">Trade summary</t>
  </si>
  <si>
    <t xml:space="preserve">Probability-weighted target price (€)</t>
  </si>
  <si>
    <t xml:space="preserve">Headline 18–24m target price</t>
  </si>
  <si>
    <t xml:space="preserve">Price upside to target</t>
  </si>
  <si>
    <t xml:space="preserve">Probability check (must be 100%)</t>
  </si>
  <si>
    <t xml:space="preserve">Upside / downside ratio (bull vs bear)</t>
  </si>
  <si>
    <t xml:space="preserve">Upside to bull ÷ downside to bear</t>
  </si>
  <si>
    <t xml:space="preserve">Dividends received over horizon (€/sh)</t>
  </si>
  <si>
    <t xml:space="preserve">FY26E + FY27E consensus DPS (interim Dec + final Jun); may include extraordinary</t>
  </si>
  <si>
    <t xml:space="preserve">Expected total shareholder return</t>
  </si>
  <si>
    <t xml:space="preserve">Annualised expected TSR</t>
  </si>
  <si>
    <t xml:space="preserve">Exit if breached without thesis-confirming news</t>
  </si>
  <si>
    <t xml:space="preserve">Cross-check: base case at consensus FY27E EBITDA (€)</t>
  </si>
  <si>
    <t xml:space="preserve">Base multiple × consensus EBITDA</t>
  </si>
  <si>
    <t xml:space="preserve">Cross-check: EV/EBITDA FY27E implied by consensus TP (x)</t>
  </si>
  <si>
    <t xml:space="preserve">What the Street's €78.68 target is paying</t>
  </si>
  <si>
    <t xml:space="preserve">Cross-check: DCF value per share (€)</t>
  </si>
  <si>
    <t xml:space="preserve">Intrinsic anchor – see DCF tab</t>
  </si>
  <si>
    <t xml:space="preserve">Scenario narratives</t>
  </si>
  <si>
    <t xml:space="preserve">Middle East / energy</t>
  </si>
  <si>
    <t xml:space="preserve">Cost shock persists into 2027</t>
  </si>
  <si>
    <t xml:space="preserve">Gradual normalisation; H2-26 price increases stick</t>
  </si>
  <si>
    <t xml:space="preserve">Hormuz deal; gas &amp; plastics fall back</t>
  </si>
  <si>
    <t xml:space="preserve">EUR/USD</t>
  </si>
  <si>
    <t xml:space="preserve">USD weakens again (key risk)</t>
  </si>
  <si>
    <t xml:space="preserve">Broadly flat</t>
  </si>
  <si>
    <t xml:space="preserve">USD strength → FX tailwind</t>
  </si>
  <si>
    <t xml:space="preserve">Volumes</t>
  </si>
  <si>
    <t xml:space="preserve">Market 2% growth</t>
  </si>
  <si>
    <t xml:space="preserve">Market 2–4% + share gains (cellulose)</t>
  </si>
  <si>
    <t xml:space="preserve">Above-market (gut replacement, Zacapu)</t>
  </si>
  <si>
    <t xml:space="preserve">Health &amp; Pet Treats</t>
  </si>
  <si>
    <t xml:space="preserve">Ignored</t>
  </si>
  <si>
    <t xml:space="preserve">Small contribution</t>
  </si>
  <si>
    <t xml:space="preserve">Re-rated as growth option</t>
  </si>
  <si>
    <t xml:space="preserve">DCF – unlevered free cash flow, € M (valuation date 1 Oct 2026)</t>
  </si>
  <si>
    <t xml:space="preserve">End-year discounting from valuation date; Q4-2026 cash flow excluded (conservative). FY25A actuals for reference.</t>
  </si>
  <si>
    <t xml:space="preserve">Assumptions</t>
  </si>
  <si>
    <t xml:space="preserve">FY2025A</t>
  </si>
  <si>
    <t xml:space="preserve">FY2029E</t>
  </si>
  <si>
    <t xml:space="preserve">FY2030E</t>
  </si>
  <si>
    <t xml:space="preserve">FY2031E</t>
  </si>
  <si>
    <t xml:space="preserve">Revenue growth</t>
  </si>
  <si>
    <t xml:space="preserve">FY26: 1H +1.8% reported, H2 helped by price increases/less FX; FY27–28 market 2–4% vol + price/mix + Zacapu</t>
  </si>
  <si>
    <t xml:space="preserve">EBITDA margin</t>
  </si>
  <si>
    <t xml:space="preserve">FY26 ≈ guidance low end; FY27 recovers to like-for-like level (1H26 LFL 23.1%); history 21.5–25%</t>
  </si>
  <si>
    <t xml:space="preserve">D&amp;A (% of revenue)</t>
  </si>
  <si>
    <t xml:space="preserve">1H26: EBITDA 134.5 − EBIT 91.8 = 42.7 → ~6.7% of revenue</t>
  </si>
  <si>
    <t xml:space="preserve">Capex (€M)</t>
  </si>
  <si>
    <t xml:space="preserve">FY26 company guidance €100M (pres. p.11); FY27–28 Beat'30 step-up (Czech plant 2028); FY29+ ≈7% of revenue</t>
  </si>
  <si>
    <t xml:space="preserve">Change in NWC (% of incremental revenue)</t>
  </si>
  <si>
    <t xml:space="preserve">Inventories + receivables ≈ 64% of LTM sales (Jun-26 BS) net of payables → 20% assumed</t>
  </si>
  <si>
    <t xml:space="preserve">Tax rate on EBIT</t>
  </si>
  <si>
    <t xml:space="preserve">1H26 effective rate 21.5% (19.5 / 90.5)</t>
  </si>
  <si>
    <t xml:space="preserve">Revenue</t>
  </si>
  <si>
    <t xml:space="preserve">EBITDA</t>
  </si>
  <si>
    <t xml:space="preserve">D&amp;A</t>
  </si>
  <si>
    <t xml:space="preserve">EBIT</t>
  </si>
  <si>
    <t xml:space="preserve">Taxes on EBIT</t>
  </si>
  <si>
    <t xml:space="preserve">NOPAT</t>
  </si>
  <si>
    <t xml:space="preserve">+ D&amp;A</t>
  </si>
  <si>
    <t xml:space="preserve">− Capex</t>
  </si>
  <si>
    <t xml:space="preserve">− Increase in NWC</t>
  </si>
  <si>
    <t xml:space="preserve">Unlevered FCF</t>
  </si>
  <si>
    <t xml:space="preserve">FY26E shown for reference only – not discounted</t>
  </si>
  <si>
    <t xml:space="preserve">Discount period (years from 1 Oct 2026)</t>
  </si>
  <si>
    <t xml:space="preserve">FY27 cash flow received end-2027 = 1.25 years after valuation date</t>
  </si>
  <si>
    <t xml:space="preserve">Discount factor</t>
  </si>
  <si>
    <t xml:space="preserve">PV of FCF</t>
  </si>
  <si>
    <t xml:space="preserve">WACC</t>
  </si>
  <si>
    <t xml:space="preserve">Risk-free rate</t>
  </si>
  <si>
    <t xml:space="preserve">Spain 10Y bond yield 2026E (S&amp;P Capital IQ, Prompt 2 §7.1)</t>
  </si>
  <si>
    <t xml:space="preserve">Levered beta</t>
  </si>
  <si>
    <t xml:space="preserve">Team assumption – low-beta non-cyclical food industrial (verify CIQ beta)</t>
  </si>
  <si>
    <t xml:space="preserve">Equity risk premium</t>
  </si>
  <si>
    <t xml:space="preserve">Team assumption – European ERP</t>
  </si>
  <si>
    <t xml:space="preserve">Cost of equity</t>
  </si>
  <si>
    <t xml:space="preserve">CAPM</t>
  </si>
  <si>
    <t xml:space="preserve">Pre-tax cost of debt</t>
  </si>
  <si>
    <t xml:space="preserve">Euribor/SOFR-referenced bank debt (Prompt 2 §7.1)</t>
  </si>
  <si>
    <t xml:space="preserve">After-tax cost of debt</t>
  </si>
  <si>
    <t xml:space="preserve">Market cap (€M)</t>
  </si>
  <si>
    <t xml:space="preserve">Net debt (€M)</t>
  </si>
  <si>
    <t xml:space="preserve">Equity weight</t>
  </si>
  <si>
    <t xml:space="preserve">Market-value weights</t>
  </si>
  <si>
    <t xml:space="preserve">Debt weight</t>
  </si>
  <si>
    <t xml:space="preserve">Terminal growth</t>
  </si>
  <si>
    <t xml:space="preserve">Team: ≈ long-run inflation; below casing-market volume growth (2–4%)</t>
  </si>
  <si>
    <t xml:space="preserve">Valuation</t>
  </si>
  <si>
    <t xml:space="preserve">Sum of PV of FCF FY27–31</t>
  </si>
  <si>
    <t xml:space="preserve">Terminal-year FCF × (1+g)</t>
  </si>
  <si>
    <t xml:space="preserve">Terminal value (Gordon growth)</t>
  </si>
  <si>
    <t xml:space="preserve">PV of terminal value</t>
  </si>
  <si>
    <t xml:space="preserve">Enterprise value</t>
  </si>
  <si>
    <t xml:space="preserve">Terminal value as % of EV</t>
  </si>
  <si>
    <t xml:space="preserve">Implied exit EV/EBITDA FY31 (x)</t>
  </si>
  <si>
    <t xml:space="preserve">Less: net debt</t>
  </si>
  <si>
    <t xml:space="preserve">Equity value</t>
  </si>
  <si>
    <t xml:space="preserve">DCF value per share (€)</t>
  </si>
  <si>
    <t xml:space="preserve">Upside / (downside) vs current price</t>
  </si>
  <si>
    <t xml:space="preserve">Sensitivities – value per share (€); green = above €53.70, red = below</t>
  </si>
  <si>
    <t xml:space="preserve">1) DCF: WACC (rows) × terminal growth (columns)</t>
  </si>
  <si>
    <t xml:space="preserve">WACC \ g</t>
  </si>
  <si>
    <t xml:space="preserve">2) Exit multiple: FY27E EBITDA €M (rows) × EV/EBITDA (columns)</t>
  </si>
  <si>
    <t xml:space="preserve">EBITDA \ x</t>
  </si>
  <si>
    <t xml:space="preserve">€328.06M = consensus FY27E; €315M = team base</t>
  </si>
  <si>
    <t xml:space="preserve">1H26 results – key data (€M) · Source: Viscofan Results Presentation Jan–Jun 2026</t>
  </si>
  <si>
    <t xml:space="preserve">P&amp;L</t>
  </si>
  <si>
    <t xml:space="preserve">1H26</t>
  </si>
  <si>
    <t xml:space="preserve">1H25</t>
  </si>
  <si>
    <t xml:space="preserve">% chg</t>
  </si>
  <si>
    <t xml:space="preserve">LFL % chg</t>
  </si>
  <si>
    <t xml:space="preserve">Source</t>
  </si>
  <si>
    <t xml:space="preserve">p.14</t>
  </si>
  <si>
    <t xml:space="preserve">Operating profit (EBIT)</t>
  </si>
  <si>
    <t xml:space="preserve">Net finance result</t>
  </si>
  <si>
    <t xml:space="preserve">p.10</t>
  </si>
  <si>
    <t xml:space="preserve">Profit before tax</t>
  </si>
  <si>
    <t xml:space="preserve">Taxes</t>
  </si>
  <si>
    <t xml:space="preserve">Net profit</t>
  </si>
  <si>
    <t xml:space="preserve">LFL margin 23.1% (p.9)</t>
  </si>
  <si>
    <t xml:space="preserve">Q2 (2Q26 vs 2Q25)</t>
  </si>
  <si>
    <t xml:space="preserve">2Q26</t>
  </si>
  <si>
    <t xml:space="preserve">2Q25</t>
  </si>
  <si>
    <t xml:space="preserve">p.15</t>
  </si>
  <si>
    <t xml:space="preserve">Consumption costs YoY: 1Q26 / 2Q26</t>
  </si>
  <si>
    <t xml:space="preserve">p.8 – Middle East cost shock in Q2</t>
  </si>
  <si>
    <t xml:space="preserve">Bridges 1H25 → 1H26</t>
  </si>
  <si>
    <t xml:space="preserve">p.4 (revenue), p.9 (EBITDA; LFL incl. energy)</t>
  </si>
  <si>
    <t xml:space="preserve">Like-for-like (ex energy for revenue)</t>
  </si>
  <si>
    <t xml:space="preserve">Like-for-like energy</t>
  </si>
  <si>
    <t xml:space="preserve">FX</t>
  </si>
  <si>
    <t xml:space="preserve">Scope (Pet Mania)</t>
  </si>
  <si>
    <t xml:space="preserve">FX hit as % of 1H25 base</t>
  </si>
  <si>
    <t xml:space="preserve">FX hits EBITDA ~3x harder than revenue: USD sales vs MXN/BRL/EUR costs</t>
  </si>
  <si>
    <t xml:space="preserve">Revenue split 1H26</t>
  </si>
  <si>
    <t xml:space="preserve">€M</t>
  </si>
  <si>
    <t xml:space="preserve">% total</t>
  </si>
  <si>
    <t xml:space="preserve">Reported</t>
  </si>
  <si>
    <t xml:space="preserve">LFL</t>
  </si>
  <si>
    <t xml:space="preserve">EMEA</t>
  </si>
  <si>
    <t xml:space="preserve">p.5 (regions)</t>
  </si>
  <si>
    <t xml:space="preserve">North America</t>
  </si>
  <si>
    <t xml:space="preserve">South America</t>
  </si>
  <si>
    <t xml:space="preserve">Asia-Pacific</t>
  </si>
  <si>
    <t xml:space="preserve">Food, Packaging &amp; Ingredients</t>
  </si>
  <si>
    <t xml:space="preserve">p.6 (divisions)</t>
  </si>
  <si>
    <t xml:space="preserve">Health</t>
  </si>
  <si>
    <t xml:space="preserve">Pet treats</t>
  </si>
  <si>
    <t xml:space="preserve">Energy (cogeneration)</t>
  </si>
  <si>
    <t xml:space="preserve">Health + Pet as % of revenue</t>
  </si>
  <si>
    <t xml:space="preserve">Cash flow &amp; balance sheet</t>
  </si>
  <si>
    <t xml:space="preserve">Net bank debt Dec-25</t>
  </si>
  <si>
    <t xml:space="preserve">p.12 – check vs reported €283.3M</t>
  </si>
  <si>
    <t xml:space="preserve">Tax paid</t>
  </si>
  <si>
    <t xml:space="preserve">Working capital change</t>
  </si>
  <si>
    <t xml:space="preserve">Capex</t>
  </si>
  <si>
    <t xml:space="preserve">FX and others</t>
  </si>
  <si>
    <t xml:space="preserve">Shareholder remuneration</t>
  </si>
  <si>
    <t xml:space="preserve">Net bank debt Jun-26</t>
  </si>
  <si>
    <t xml:space="preserve">Sensitivity: +10% gas price → operating profit (€M)</t>
  </si>
  <si>
    <t xml:space="preserve">1H26 Half-Year Financial Report (Prompt 2, §3.2)</t>
  </si>
  <si>
    <t xml:space="preserve">Sensitivity: +1% interest rates → operating profit (€M)</t>
  </si>
  <si>
    <t xml:space="preserve">1H26 Half-Year Financial Report (Prompt 2, §1.2)</t>
  </si>
  <si>
    <t xml:space="preserve">Comparables (secondary cross-check)</t>
  </si>
  <si>
    <t xml:space="preserve">Company</t>
  </si>
  <si>
    <t xml:space="preserve">TEV/EBITDA</t>
  </si>
  <si>
    <t xml:space="preserve">P/E trailing</t>
  </si>
  <si>
    <t xml:space="preserve">Net margin</t>
  </si>
  <si>
    <t xml:space="preserve">Note / source</t>
  </si>
  <si>
    <t xml:space="preserve">Viscofan (BME:VIS)</t>
  </si>
  <si>
    <t xml:space="preserve">S&amp;P Capital IQ, priced 30 Sep 2026 (Prompt 1)</t>
  </si>
  <si>
    <t xml:space="preserve">Ebro Foods (BME:EBRO)</t>
  </si>
  <si>
    <t xml:space="preserve">S&amp;P Capital IQ (Prompt 1) – Spanish food benchmark</t>
  </si>
  <si>
    <t xml:space="preserve">Shenguan Holdings (HK:0829)</t>
  </si>
  <si>
    <t xml:space="preserve">Listed collagen-casing peer – fill from Capital IQ</t>
  </si>
  <si>
    <t xml:space="preserve">Devro / SARIA take-private (2022)</t>
  </si>
  <si>
    <t xml:space="preserve">Precedent transaction (control premium – reference only)</t>
  </si>
  <si>
    <t xml:space="preserve">Viscofan premium vs Ebro (TEV/EBITDA)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</si>
</sst>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€#,##0.00;&quot;(€&quot;#,##0.00\);\-"/>
    <numFmt numFmtId="166" formatCode="#,##0.00"/>
    <numFmt numFmtId="167" formatCode="\€#,##0.0;&quot;(€&quot;#,##0.0\);\-"/>
    <numFmt numFmtId="168" formatCode="#,##0.0;\(#,##0.0\);\-"/>
    <numFmt numFmtId="169" formatCode="0.000"/>
    <numFmt numFmtId="170" formatCode="0.0%;\(0.0%\);\-"/>
    <numFmt numFmtId="171" formatCode="0.0\x"/>
    <numFmt numFmtId="172" formatCode="0"/>
    <numFmt numFmtId="173" formatCode="0.00"/>
    <numFmt numFmtId="174" formatCode="\+0.0%;\-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C6EFCE"/>
      </patternFill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3"/>
    <col collapsed="false" customWidth="true" hidden="false" outlineLevel="0" max="5" min="5" style="0" width="7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4"/>
      <c r="C3" s="4"/>
      <c r="D3" s="4"/>
      <c r="E3" s="4"/>
    </row>
    <row r="4" customFormat="false" ht="15" hidden="false" customHeight="false" outlineLevel="0" collapsed="false">
      <c r="A4" s="5" t="s">
        <v>3</v>
      </c>
      <c r="B4" s="6" t="n">
        <v>53.7</v>
      </c>
      <c r="E4" s="2" t="s">
        <v>4</v>
      </c>
    </row>
    <row r="5" customFormat="false" ht="15" hidden="false" customHeight="false" outlineLevel="0" collapsed="false">
      <c r="A5" s="5" t="s">
        <v>5</v>
      </c>
      <c r="B5" s="7" t="n">
        <v>46.20225</v>
      </c>
      <c r="E5" s="2" t="s">
        <v>6</v>
      </c>
    </row>
    <row r="6" customFormat="false" ht="15" hidden="false" customHeight="false" outlineLevel="0" collapsed="false">
      <c r="A6" s="5" t="s">
        <v>7</v>
      </c>
      <c r="B6" s="8" t="n">
        <f aca="false">B4*B5</f>
        <v>2481.060825</v>
      </c>
      <c r="E6" s="2" t="s">
        <v>8</v>
      </c>
    </row>
    <row r="7" customFormat="false" ht="15" hidden="false" customHeight="false" outlineLevel="0" collapsed="false">
      <c r="A7" s="5" t="s">
        <v>9</v>
      </c>
      <c r="B7" s="9" t="n">
        <v>429.3</v>
      </c>
      <c r="E7" s="2" t="s">
        <v>10</v>
      </c>
    </row>
    <row r="8" customFormat="false" ht="15" hidden="false" customHeight="false" outlineLevel="0" collapsed="false">
      <c r="A8" s="5" t="s">
        <v>11</v>
      </c>
      <c r="B8" s="9" t="n">
        <v>66</v>
      </c>
      <c r="E8" s="2" t="s">
        <v>12</v>
      </c>
    </row>
    <row r="9" customFormat="false" ht="15" hidden="false" customHeight="false" outlineLevel="0" collapsed="false">
      <c r="A9" s="5" t="s">
        <v>13</v>
      </c>
      <c r="B9" s="9" t="n">
        <v>57.728</v>
      </c>
      <c r="E9" s="2" t="s">
        <v>14</v>
      </c>
    </row>
    <row r="10" customFormat="false" ht="15" hidden="false" customHeight="false" outlineLevel="0" collapsed="false">
      <c r="A10" s="5" t="s">
        <v>15</v>
      </c>
      <c r="B10" s="10" t="n">
        <f aca="false">B8/B9</f>
        <v>1.14329268292683</v>
      </c>
      <c r="E10" s="2" t="s">
        <v>16</v>
      </c>
    </row>
    <row r="11" customFormat="false" ht="15" hidden="false" customHeight="false" outlineLevel="0" collapsed="false">
      <c r="A11" s="5" t="s">
        <v>17</v>
      </c>
      <c r="B11" s="8" t="n">
        <f aca="false">B7/B10</f>
        <v>375.4944</v>
      </c>
      <c r="E11" s="2" t="s">
        <v>18</v>
      </c>
    </row>
    <row r="12" customFormat="false" ht="15" hidden="false" customHeight="false" outlineLevel="0" collapsed="false">
      <c r="A12" s="5" t="s">
        <v>19</v>
      </c>
      <c r="B12" s="11" t="n">
        <f aca="false">B11-B9</f>
        <v>317.7664</v>
      </c>
      <c r="E12" s="2" t="s">
        <v>20</v>
      </c>
    </row>
    <row r="13" customFormat="false" ht="15" hidden="false" customHeight="false" outlineLevel="0" collapsed="false">
      <c r="A13" s="5" t="s">
        <v>21</v>
      </c>
      <c r="B13" s="12" t="n">
        <v>283.3</v>
      </c>
      <c r="E13" s="2" t="s">
        <v>22</v>
      </c>
    </row>
    <row r="14" customFormat="false" ht="15" hidden="false" customHeight="false" outlineLevel="0" collapsed="false">
      <c r="A14" s="5" t="s">
        <v>23</v>
      </c>
      <c r="B14" s="8" t="n">
        <f aca="false">B6+B12</f>
        <v>2798.827225</v>
      </c>
      <c r="E14" s="2" t="s">
        <v>24</v>
      </c>
    </row>
    <row r="16" customFormat="false" ht="15" hidden="false" customHeight="false" outlineLevel="0" collapsed="false">
      <c r="A16" s="3" t="s">
        <v>25</v>
      </c>
      <c r="B16" s="4"/>
      <c r="C16" s="4"/>
      <c r="D16" s="4"/>
      <c r="E16" s="4"/>
    </row>
    <row r="17" customFormat="false" ht="15" hidden="false" customHeight="false" outlineLevel="0" collapsed="false">
      <c r="A17" s="5" t="s">
        <v>26</v>
      </c>
      <c r="B17" s="12" t="n">
        <v>1252</v>
      </c>
      <c r="E17" s="2" t="s">
        <v>27</v>
      </c>
    </row>
    <row r="18" customFormat="false" ht="15" hidden="false" customHeight="false" outlineLevel="0" collapsed="false">
      <c r="A18" s="5" t="s">
        <v>28</v>
      </c>
      <c r="B18" s="12" t="n">
        <v>618.8</v>
      </c>
      <c r="E18" s="2" t="s">
        <v>29</v>
      </c>
    </row>
    <row r="19" customFormat="false" ht="15" hidden="false" customHeight="false" outlineLevel="0" collapsed="false">
      <c r="A19" s="5" t="s">
        <v>30</v>
      </c>
      <c r="B19" s="12" t="n">
        <v>629.8</v>
      </c>
      <c r="E19" s="2" t="s">
        <v>29</v>
      </c>
    </row>
    <row r="20" customFormat="false" ht="15" hidden="false" customHeight="false" outlineLevel="0" collapsed="false">
      <c r="A20" s="5" t="s">
        <v>31</v>
      </c>
      <c r="B20" s="8" t="n">
        <f aca="false">B17-B18+B19</f>
        <v>1263</v>
      </c>
      <c r="E20" s="2" t="s">
        <v>32</v>
      </c>
    </row>
    <row r="21" customFormat="false" ht="15" hidden="false" customHeight="false" outlineLevel="0" collapsed="false">
      <c r="A21" s="5" t="s">
        <v>33</v>
      </c>
      <c r="B21" s="12" t="n">
        <v>290</v>
      </c>
      <c r="E21" s="2" t="s">
        <v>34</v>
      </c>
    </row>
    <row r="22" customFormat="false" ht="15" hidden="false" customHeight="false" outlineLevel="0" collapsed="false">
      <c r="A22" s="5" t="s">
        <v>35</v>
      </c>
      <c r="B22" s="12" t="n">
        <v>145.2</v>
      </c>
      <c r="E22" s="2" t="s">
        <v>36</v>
      </c>
    </row>
    <row r="23" customFormat="false" ht="15" hidden="false" customHeight="false" outlineLevel="0" collapsed="false">
      <c r="A23" s="5" t="s">
        <v>37</v>
      </c>
      <c r="B23" s="12" t="n">
        <v>134.5</v>
      </c>
      <c r="E23" s="2" t="s">
        <v>36</v>
      </c>
    </row>
    <row r="24" customFormat="false" ht="15" hidden="false" customHeight="false" outlineLevel="0" collapsed="false">
      <c r="A24" s="5" t="s">
        <v>38</v>
      </c>
      <c r="B24" s="8" t="n">
        <f aca="false">B21-B22+B23</f>
        <v>279.3</v>
      </c>
      <c r="E24" s="2" t="s">
        <v>32</v>
      </c>
    </row>
    <row r="25" customFormat="false" ht="15" hidden="false" customHeight="false" outlineLevel="0" collapsed="false">
      <c r="A25" s="5" t="s">
        <v>39</v>
      </c>
      <c r="B25" s="13" t="n">
        <f aca="false">B24/B20</f>
        <v>0.221140142517815</v>
      </c>
      <c r="E25" s="2" t="s">
        <v>40</v>
      </c>
    </row>
    <row r="26" customFormat="false" ht="15" hidden="false" customHeight="false" outlineLevel="0" collapsed="false">
      <c r="A26" s="5" t="s">
        <v>41</v>
      </c>
      <c r="B26" s="14" t="n">
        <f aca="false">B14/B24</f>
        <v>10.0208636770498</v>
      </c>
      <c r="E26" s="2" t="s">
        <v>42</v>
      </c>
    </row>
    <row r="27" customFormat="false" ht="15" hidden="false" customHeight="false" outlineLevel="0" collapsed="false">
      <c r="A27" s="5" t="s">
        <v>43</v>
      </c>
      <c r="B27" s="14" t="n">
        <f aca="false">B12/B24</f>
        <v>1.13772431077694</v>
      </c>
      <c r="E27" s="2" t="s">
        <v>40</v>
      </c>
    </row>
    <row r="28" customFormat="false" ht="15" hidden="false" customHeight="false" outlineLevel="0" collapsed="false">
      <c r="A28" s="5" t="s">
        <v>44</v>
      </c>
      <c r="B28" s="14" t="n">
        <f aca="false">B13/B24</f>
        <v>1.01432151808092</v>
      </c>
      <c r="E28" s="2" t="s">
        <v>45</v>
      </c>
    </row>
    <row r="30" customFormat="false" ht="15" hidden="false" customHeight="false" outlineLevel="0" collapsed="false">
      <c r="A30" s="3" t="s">
        <v>46</v>
      </c>
      <c r="B30" s="4"/>
      <c r="C30" s="4"/>
      <c r="D30" s="4"/>
      <c r="E30" s="4"/>
    </row>
    <row r="31" customFormat="false" ht="15" hidden="false" customHeight="false" outlineLevel="0" collapsed="false">
      <c r="A31" s="15"/>
      <c r="B31" s="16" t="s">
        <v>47</v>
      </c>
      <c r="C31" s="16" t="s">
        <v>48</v>
      </c>
      <c r="D31" s="16" t="s">
        <v>49</v>
      </c>
    </row>
    <row r="32" customFormat="false" ht="15" hidden="false" customHeight="false" outlineLevel="0" collapsed="false">
      <c r="A32" s="5" t="s">
        <v>50</v>
      </c>
      <c r="B32" s="12" t="n">
        <v>300.54</v>
      </c>
      <c r="C32" s="12" t="n">
        <v>328.06</v>
      </c>
      <c r="D32" s="12" t="n">
        <v>355.91</v>
      </c>
      <c r="E32" s="2" t="s">
        <v>51</v>
      </c>
    </row>
    <row r="33" customFormat="false" ht="15" hidden="false" customHeight="false" outlineLevel="0" collapsed="false">
      <c r="A33" s="5" t="s">
        <v>52</v>
      </c>
      <c r="B33" s="17" t="n">
        <v>3.29</v>
      </c>
      <c r="C33" s="17" t="n">
        <v>3.39</v>
      </c>
      <c r="D33" s="17" t="n">
        <v>3.54</v>
      </c>
      <c r="E33" s="2" t="s">
        <v>53</v>
      </c>
    </row>
    <row r="34" customFormat="false" ht="15" hidden="false" customHeight="false" outlineLevel="0" collapsed="false">
      <c r="A34" s="5" t="s">
        <v>54</v>
      </c>
      <c r="B34" s="18" t="n">
        <v>9</v>
      </c>
      <c r="C34" s="18" t="n">
        <v>9</v>
      </c>
      <c r="D34" s="18" t="n">
        <v>9</v>
      </c>
    </row>
    <row r="35" customFormat="false" ht="15" hidden="false" customHeight="false" outlineLevel="0" collapsed="false">
      <c r="A35" s="5" t="s">
        <v>55</v>
      </c>
      <c r="B35" s="17" t="n">
        <v>78.68</v>
      </c>
      <c r="E35" s="2" t="s">
        <v>56</v>
      </c>
    </row>
    <row r="36" customFormat="false" ht="15" hidden="false" customHeight="false" outlineLevel="0" collapsed="false">
      <c r="A36" s="5" t="s">
        <v>57</v>
      </c>
      <c r="B36" s="13" t="n">
        <f aca="false">B35/B4-1</f>
        <v>0.465176908752328</v>
      </c>
    </row>
    <row r="38" customFormat="false" ht="15" hidden="false" customHeight="false" outlineLevel="0" collapsed="false">
      <c r="A38" s="3" t="s">
        <v>58</v>
      </c>
      <c r="B38" s="4"/>
      <c r="C38" s="4"/>
      <c r="D38" s="4"/>
      <c r="E38" s="4"/>
    </row>
    <row r="39" customFormat="false" ht="15" hidden="false" customHeight="false" outlineLevel="0" collapsed="false">
      <c r="A39" s="5" t="s">
        <v>59</v>
      </c>
      <c r="B39" s="19" t="n">
        <v>1.75</v>
      </c>
      <c r="E39" s="2" t="s">
        <v>60</v>
      </c>
    </row>
    <row r="40" customFormat="false" ht="15" hidden="false" customHeight="false" outlineLevel="0" collapsed="false">
      <c r="A40" s="5" t="s">
        <v>61</v>
      </c>
      <c r="B40" s="20" t="n">
        <v>0.15</v>
      </c>
      <c r="E40" s="2" t="s">
        <v>62</v>
      </c>
    </row>
    <row r="41" customFormat="false" ht="15" hidden="false" customHeight="false" outlineLevel="0" collapsed="false">
      <c r="A41" s="5" t="s">
        <v>63</v>
      </c>
      <c r="B41" s="21" t="n">
        <f aca="false">B4*(1-B40)</f>
        <v>45.645</v>
      </c>
      <c r="E41" s="2" t="s">
        <v>40</v>
      </c>
    </row>
    <row r="42" customFormat="false" ht="15" hidden="false" customHeight="false" outlineLevel="0" collapsed="false">
      <c r="A42" s="5" t="s">
        <v>64</v>
      </c>
      <c r="B42" s="20" t="n">
        <v>0.3</v>
      </c>
      <c r="E42" s="2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5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" t="s">
        <v>66</v>
      </c>
    </row>
    <row r="2" customFormat="false" ht="15" hidden="false" customHeight="false" outlineLevel="0" collapsed="false">
      <c r="A2" s="2" t="s">
        <v>67</v>
      </c>
    </row>
    <row r="4" customFormat="false" ht="15" hidden="false" customHeight="false" outlineLevel="0" collapsed="false">
      <c r="A4" s="15"/>
      <c r="B4" s="16" t="s">
        <v>68</v>
      </c>
      <c r="C4" s="16" t="s">
        <v>69</v>
      </c>
      <c r="D4" s="16" t="s">
        <v>70</v>
      </c>
      <c r="E4" s="16" t="s">
        <v>71</v>
      </c>
    </row>
    <row r="5" customFormat="false" ht="15" hidden="false" customHeight="false" outlineLevel="0" collapsed="false">
      <c r="A5" s="5" t="s">
        <v>72</v>
      </c>
      <c r="B5" s="20" t="n">
        <v>0.15</v>
      </c>
      <c r="C5" s="20" t="n">
        <v>0.5</v>
      </c>
      <c r="D5" s="20" t="n">
        <v>0.35</v>
      </c>
      <c r="E5" s="2" t="s">
        <v>73</v>
      </c>
    </row>
    <row r="6" customFormat="false" ht="15" hidden="false" customHeight="false" outlineLevel="0" collapsed="false">
      <c r="A6" s="5" t="s">
        <v>74</v>
      </c>
      <c r="B6" s="22" t="n">
        <v>285</v>
      </c>
      <c r="C6" s="22" t="n">
        <v>315</v>
      </c>
      <c r="D6" s="22" t="n">
        <v>340</v>
      </c>
      <c r="E6" s="2" t="s">
        <v>75</v>
      </c>
    </row>
    <row r="7" customFormat="false" ht="15" hidden="false" customHeight="false" outlineLevel="0" collapsed="false">
      <c r="A7" s="5" t="s">
        <v>76</v>
      </c>
      <c r="B7" s="23" t="n">
        <v>8</v>
      </c>
      <c r="C7" s="23" t="n">
        <v>10</v>
      </c>
      <c r="D7" s="23" t="n">
        <v>11.5</v>
      </c>
      <c r="E7" s="2" t="s">
        <v>77</v>
      </c>
    </row>
    <row r="8" customFormat="false" ht="15" hidden="false" customHeight="false" outlineLevel="0" collapsed="false">
      <c r="A8" s="5" t="s">
        <v>78</v>
      </c>
      <c r="B8" s="8" t="n">
        <f aca="false">B6*B7</f>
        <v>2280</v>
      </c>
      <c r="C8" s="8" t="n">
        <f aca="false">C6*C7</f>
        <v>3150</v>
      </c>
      <c r="D8" s="8" t="n">
        <f aca="false">D6*D7</f>
        <v>3910</v>
      </c>
    </row>
    <row r="9" customFormat="false" ht="15" hidden="false" customHeight="false" outlineLevel="0" collapsed="false">
      <c r="A9" s="5" t="s">
        <v>79</v>
      </c>
      <c r="B9" s="24" t="n">
        <f aca="false">Inputs!$B$12</f>
        <v>317.7664</v>
      </c>
      <c r="C9" s="24" t="n">
        <f aca="false">Inputs!$B$12</f>
        <v>317.7664</v>
      </c>
      <c r="D9" s="24" t="n">
        <f aca="false">Inputs!$B$12</f>
        <v>317.7664</v>
      </c>
    </row>
    <row r="10" customFormat="false" ht="15" hidden="false" customHeight="false" outlineLevel="0" collapsed="false">
      <c r="A10" s="5" t="s">
        <v>80</v>
      </c>
      <c r="B10" s="8" t="n">
        <f aca="false">B8-B9</f>
        <v>1962.2336</v>
      </c>
      <c r="C10" s="8" t="n">
        <f aca="false">C8-C9</f>
        <v>2832.2336</v>
      </c>
      <c r="D10" s="8" t="n">
        <f aca="false">D8-D9</f>
        <v>3592.2336</v>
      </c>
    </row>
    <row r="11" customFormat="false" ht="15" hidden="false" customHeight="false" outlineLevel="0" collapsed="false">
      <c r="A11" s="5" t="s">
        <v>5</v>
      </c>
      <c r="B11" s="25" t="n">
        <f aca="false">Inputs!$B$5</f>
        <v>46.20225</v>
      </c>
      <c r="C11" s="25" t="n">
        <f aca="false">Inputs!$B$5</f>
        <v>46.20225</v>
      </c>
      <c r="D11" s="25" t="n">
        <f aca="false">Inputs!$B$5</f>
        <v>46.20225</v>
      </c>
    </row>
    <row r="12" customFormat="false" ht="15" hidden="false" customHeight="false" outlineLevel="0" collapsed="false">
      <c r="A12" s="26" t="s">
        <v>81</v>
      </c>
      <c r="B12" s="27" t="n">
        <f aca="false">B10/B11</f>
        <v>42.47052037509</v>
      </c>
      <c r="C12" s="27" t="n">
        <f aca="false">C10/C11</f>
        <v>61.3007721485426</v>
      </c>
      <c r="D12" s="27" t="n">
        <f aca="false">D10/D11</f>
        <v>77.750187490869</v>
      </c>
    </row>
    <row r="13" customFormat="false" ht="15" hidden="false" customHeight="false" outlineLevel="0" collapsed="false">
      <c r="A13" s="5" t="s">
        <v>82</v>
      </c>
      <c r="B13" s="13" t="n">
        <f aca="false">B12/Inputs!$B$4-1</f>
        <v>-0.209115076813967</v>
      </c>
      <c r="C13" s="13" t="n">
        <f aca="false">C12/Inputs!$B$4-1</f>
        <v>0.141541380792226</v>
      </c>
      <c r="D13" s="13" t="n">
        <f aca="false">D12/Inputs!$B$4-1</f>
        <v>0.447861964448211</v>
      </c>
    </row>
    <row r="14" customFormat="false" ht="15" hidden="false" customHeight="false" outlineLevel="0" collapsed="false">
      <c r="A14" s="5" t="s">
        <v>83</v>
      </c>
      <c r="B14" s="13" t="n">
        <f aca="false">B6/Inputs!$C$32-1</f>
        <v>-0.131256477473633</v>
      </c>
      <c r="C14" s="13" t="n">
        <f aca="false">C6/Inputs!$C$32-1</f>
        <v>-0.0398097908919101</v>
      </c>
      <c r="D14" s="13" t="n">
        <f aca="false">D6/Inputs!$C$32-1</f>
        <v>0.0363957812595257</v>
      </c>
    </row>
    <row r="16" customFormat="false" ht="15" hidden="false" customHeight="false" outlineLevel="0" collapsed="false">
      <c r="A16" s="3" t="s">
        <v>84</v>
      </c>
      <c r="B16" s="4"/>
      <c r="C16" s="4"/>
      <c r="D16" s="4"/>
      <c r="E16" s="4"/>
    </row>
    <row r="17" customFormat="false" ht="15" hidden="false" customHeight="false" outlineLevel="0" collapsed="false">
      <c r="A17" s="26" t="s">
        <v>85</v>
      </c>
      <c r="B17" s="28" t="n">
        <f aca="false">SUMPRODUCT(B5:D5,B12:D12)</f>
        <v>64.2335297523389</v>
      </c>
      <c r="E17" s="2" t="s">
        <v>86</v>
      </c>
    </row>
    <row r="18" customFormat="false" ht="15" hidden="false" customHeight="false" outlineLevel="0" collapsed="false">
      <c r="A18" s="26" t="s">
        <v>87</v>
      </c>
      <c r="B18" s="13" t="n">
        <f aca="false">B17/Inputs!B4-1</f>
        <v>0.196155116430892</v>
      </c>
      <c r="E18" s="2"/>
    </row>
    <row r="19" customFormat="false" ht="15" hidden="false" customHeight="false" outlineLevel="0" collapsed="false">
      <c r="A19" s="5" t="s">
        <v>88</v>
      </c>
      <c r="B19" s="13" t="n">
        <f aca="false">SUM(B5:D5)</f>
        <v>1</v>
      </c>
      <c r="E19" s="2"/>
    </row>
    <row r="20" customFormat="false" ht="15" hidden="false" customHeight="false" outlineLevel="0" collapsed="false">
      <c r="A20" s="5" t="s">
        <v>89</v>
      </c>
      <c r="B20" s="14" t="n">
        <f aca="false">(D12-Inputs!B4)/(Inputs!B4-B12)</f>
        <v>2.14170097762314</v>
      </c>
      <c r="E20" s="2" t="s">
        <v>90</v>
      </c>
    </row>
    <row r="21" customFormat="false" ht="15" hidden="false" customHeight="false" outlineLevel="0" collapsed="false">
      <c r="A21" s="5" t="s">
        <v>91</v>
      </c>
      <c r="B21" s="21" t="n">
        <f aca="false">Inputs!B33+Inputs!C33</f>
        <v>6.68</v>
      </c>
      <c r="E21" s="2" t="s">
        <v>92</v>
      </c>
    </row>
    <row r="22" customFormat="false" ht="15" hidden="false" customHeight="false" outlineLevel="0" collapsed="false">
      <c r="A22" s="5" t="s">
        <v>93</v>
      </c>
      <c r="B22" s="13" t="n">
        <f aca="false">(B17+B21)/Inputs!B4-1</f>
        <v>0.320549902278191</v>
      </c>
      <c r="E22" s="2"/>
    </row>
    <row r="23" customFormat="false" ht="15" hidden="false" customHeight="false" outlineLevel="0" collapsed="false">
      <c r="A23" s="5" t="s">
        <v>94</v>
      </c>
      <c r="B23" s="13" t="n">
        <f aca="false">(1+B22)^(1/Inputs!B39)-1</f>
        <v>0.172202795618158</v>
      </c>
      <c r="E23" s="2"/>
    </row>
    <row r="24" customFormat="false" ht="15" hidden="false" customHeight="false" outlineLevel="0" collapsed="false">
      <c r="A24" s="5" t="s">
        <v>63</v>
      </c>
      <c r="B24" s="29" t="n">
        <f aca="false">Inputs!B41</f>
        <v>45.645</v>
      </c>
      <c r="E24" s="2" t="s">
        <v>95</v>
      </c>
    </row>
    <row r="25" customFormat="false" ht="15" hidden="false" customHeight="false" outlineLevel="0" collapsed="false">
      <c r="A25" s="5" t="s">
        <v>96</v>
      </c>
      <c r="B25" s="21" t="n">
        <f aca="false">(Inputs!C32*C7-Inputs!B12)/Inputs!B5</f>
        <v>64.127474311316</v>
      </c>
      <c r="E25" s="2" t="s">
        <v>97</v>
      </c>
    </row>
    <row r="26" customFormat="false" ht="15" hidden="false" customHeight="false" outlineLevel="0" collapsed="false">
      <c r="A26" s="5" t="s">
        <v>98</v>
      </c>
      <c r="B26" s="14" t="n">
        <f aca="false">(Inputs!B35*Inputs!B5+Inputs!B12)/Inputs!C32</f>
        <v>12.0495014021825</v>
      </c>
      <c r="E26" s="2" t="s">
        <v>99</v>
      </c>
    </row>
    <row r="27" customFormat="false" ht="15" hidden="false" customHeight="false" outlineLevel="0" collapsed="false">
      <c r="A27" s="5" t="s">
        <v>100</v>
      </c>
      <c r="B27" s="29" t="n">
        <f aca="false">DCF!B49</f>
        <v>61.0396200879844</v>
      </c>
      <c r="E27" s="2" t="s">
        <v>101</v>
      </c>
    </row>
    <row r="29" customFormat="false" ht="15" hidden="false" customHeight="false" outlineLevel="0" collapsed="false">
      <c r="A29" s="3" t="s">
        <v>102</v>
      </c>
      <c r="B29" s="4"/>
      <c r="C29" s="4"/>
      <c r="D29" s="4"/>
      <c r="E29" s="4"/>
    </row>
    <row r="30" customFormat="false" ht="37.5" hidden="false" customHeight="true" outlineLevel="0" collapsed="false">
      <c r="A30" s="5" t="s">
        <v>103</v>
      </c>
      <c r="B30" s="30" t="s">
        <v>104</v>
      </c>
      <c r="C30" s="30" t="s">
        <v>105</v>
      </c>
      <c r="D30" s="30" t="s">
        <v>106</v>
      </c>
    </row>
    <row r="31" customFormat="false" ht="37.5" hidden="false" customHeight="true" outlineLevel="0" collapsed="false">
      <c r="A31" s="5" t="s">
        <v>107</v>
      </c>
      <c r="B31" s="30" t="s">
        <v>108</v>
      </c>
      <c r="C31" s="30" t="s">
        <v>109</v>
      </c>
      <c r="D31" s="30" t="s">
        <v>110</v>
      </c>
    </row>
    <row r="32" customFormat="false" ht="37.5" hidden="false" customHeight="true" outlineLevel="0" collapsed="false">
      <c r="A32" s="5" t="s">
        <v>111</v>
      </c>
      <c r="B32" s="30" t="s">
        <v>112</v>
      </c>
      <c r="C32" s="30" t="s">
        <v>113</v>
      </c>
      <c r="D32" s="30" t="s">
        <v>114</v>
      </c>
    </row>
    <row r="33" customFormat="false" ht="37.5" hidden="false" customHeight="true" outlineLevel="0" collapsed="false">
      <c r="A33" s="5" t="s">
        <v>115</v>
      </c>
      <c r="B33" s="30" t="s">
        <v>116</v>
      </c>
      <c r="C33" s="30" t="s">
        <v>117</v>
      </c>
      <c r="D33" s="30" t="s">
        <v>118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8" min="2" style="0" width="12"/>
    <col collapsed="false" customWidth="true" hidden="false" outlineLevel="0" max="9" min="9" style="0" width="58"/>
  </cols>
  <sheetData>
    <row r="1" customFormat="false" ht="17.35" hidden="false" customHeight="false" outlineLevel="0" collapsed="false">
      <c r="A1" s="1" t="s">
        <v>119</v>
      </c>
    </row>
    <row r="2" customFormat="false" ht="15" hidden="false" customHeight="false" outlineLevel="0" collapsed="false">
      <c r="A2" s="2" t="s">
        <v>120</v>
      </c>
    </row>
    <row r="4" customFormat="false" ht="15" hidden="false" customHeight="false" outlineLevel="0" collapsed="false">
      <c r="A4" s="15" t="s">
        <v>121</v>
      </c>
      <c r="B4" s="16" t="s">
        <v>122</v>
      </c>
      <c r="C4" s="16" t="s">
        <v>47</v>
      </c>
      <c r="D4" s="16" t="s">
        <v>48</v>
      </c>
      <c r="E4" s="16" t="s">
        <v>49</v>
      </c>
      <c r="F4" s="16" t="s">
        <v>123</v>
      </c>
      <c r="G4" s="16" t="s">
        <v>124</v>
      </c>
      <c r="H4" s="16" t="s">
        <v>125</v>
      </c>
    </row>
    <row r="5" customFormat="false" ht="15" hidden="false" customHeight="false" outlineLevel="0" collapsed="false">
      <c r="A5" s="5" t="s">
        <v>126</v>
      </c>
      <c r="C5" s="31" t="n">
        <v>0.03</v>
      </c>
      <c r="D5" s="31" t="n">
        <v>0.05</v>
      </c>
      <c r="E5" s="31" t="n">
        <v>0.05</v>
      </c>
      <c r="F5" s="31" t="n">
        <v>0.045</v>
      </c>
      <c r="G5" s="31" t="n">
        <v>0.04</v>
      </c>
      <c r="H5" s="31" t="n">
        <v>0.035</v>
      </c>
      <c r="I5" s="2" t="s">
        <v>127</v>
      </c>
    </row>
    <row r="6" customFormat="false" ht="15" hidden="false" customHeight="false" outlineLevel="0" collapsed="false">
      <c r="A6" s="5" t="s">
        <v>128</v>
      </c>
      <c r="B6" s="13" t="n">
        <f aca="false">B12/B11</f>
        <v>0.231629392971246</v>
      </c>
      <c r="C6" s="20" t="n">
        <v>0.217</v>
      </c>
      <c r="D6" s="20" t="n">
        <v>0.2325</v>
      </c>
      <c r="E6" s="20" t="n">
        <v>0.2375</v>
      </c>
      <c r="F6" s="20" t="n">
        <v>0.24</v>
      </c>
      <c r="G6" s="20" t="n">
        <v>0.24</v>
      </c>
      <c r="H6" s="20" t="n">
        <v>0.24</v>
      </c>
      <c r="I6" s="2" t="s">
        <v>129</v>
      </c>
    </row>
    <row r="7" customFormat="false" ht="15" hidden="false" customHeight="false" outlineLevel="0" collapsed="false">
      <c r="A7" s="5" t="s">
        <v>130</v>
      </c>
      <c r="C7" s="31" t="n">
        <v>0.067</v>
      </c>
      <c r="D7" s="31" t="n">
        <v>0.067</v>
      </c>
      <c r="E7" s="31" t="n">
        <v>0.067</v>
      </c>
      <c r="F7" s="31" t="n">
        <v>0.067</v>
      </c>
      <c r="G7" s="31" t="n">
        <v>0.067</v>
      </c>
      <c r="H7" s="31" t="n">
        <v>0.067</v>
      </c>
      <c r="I7" s="2" t="s">
        <v>131</v>
      </c>
    </row>
    <row r="8" customFormat="false" ht="15" hidden="false" customHeight="false" outlineLevel="0" collapsed="false">
      <c r="A8" s="5" t="s">
        <v>132</v>
      </c>
      <c r="C8" s="12" t="n">
        <v>100</v>
      </c>
      <c r="D8" s="12" t="n">
        <v>110</v>
      </c>
      <c r="E8" s="12" t="n">
        <v>110</v>
      </c>
      <c r="F8" s="12" t="n">
        <v>104</v>
      </c>
      <c r="G8" s="12" t="n">
        <v>108</v>
      </c>
      <c r="H8" s="12" t="n">
        <v>112</v>
      </c>
      <c r="I8" s="2" t="s">
        <v>133</v>
      </c>
    </row>
    <row r="9" customFormat="false" ht="15" hidden="false" customHeight="false" outlineLevel="0" collapsed="false">
      <c r="A9" s="5" t="s">
        <v>134</v>
      </c>
      <c r="B9" s="31" t="n">
        <v>0.2</v>
      </c>
      <c r="I9" s="2" t="s">
        <v>135</v>
      </c>
    </row>
    <row r="10" customFormat="false" ht="15" hidden="false" customHeight="false" outlineLevel="0" collapsed="false">
      <c r="A10" s="5" t="s">
        <v>136</v>
      </c>
      <c r="B10" s="31" t="n">
        <v>0.22</v>
      </c>
      <c r="I10" s="2" t="s">
        <v>137</v>
      </c>
    </row>
    <row r="11" customFormat="false" ht="15" hidden="false" customHeight="false" outlineLevel="0" collapsed="false">
      <c r="A11" s="26" t="s">
        <v>138</v>
      </c>
      <c r="B11" s="24" t="n">
        <f aca="false">Inputs!B17</f>
        <v>1252</v>
      </c>
      <c r="C11" s="8" t="n">
        <f aca="false">B11*(1+C5)</f>
        <v>1289.56</v>
      </c>
      <c r="D11" s="8" t="n">
        <f aca="false">C11*(1+D5)</f>
        <v>1354.038</v>
      </c>
      <c r="E11" s="8" t="n">
        <f aca="false">D11*(1+E5)</f>
        <v>1421.7399</v>
      </c>
      <c r="F11" s="8" t="n">
        <f aca="false">E11*(1+F5)</f>
        <v>1485.7181955</v>
      </c>
      <c r="G11" s="8" t="n">
        <f aca="false">F11*(1+G5)</f>
        <v>1545.14692332</v>
      </c>
      <c r="H11" s="8" t="n">
        <f aca="false">G11*(1+H5)</f>
        <v>1599.2270656362</v>
      </c>
    </row>
    <row r="12" customFormat="false" ht="15" hidden="false" customHeight="false" outlineLevel="0" collapsed="false">
      <c r="A12" s="26" t="s">
        <v>139</v>
      </c>
      <c r="B12" s="24" t="n">
        <f aca="false">Inputs!B21</f>
        <v>290</v>
      </c>
      <c r="C12" s="8" t="n">
        <f aca="false">C11*C6</f>
        <v>279.83452</v>
      </c>
      <c r="D12" s="8" t="n">
        <f aca="false">D11*D6</f>
        <v>314.813835</v>
      </c>
      <c r="E12" s="8" t="n">
        <f aca="false">E11*E6</f>
        <v>337.66322625</v>
      </c>
      <c r="F12" s="8" t="n">
        <f aca="false">F11*F6</f>
        <v>356.57236692</v>
      </c>
      <c r="G12" s="8" t="n">
        <f aca="false">G11*G6</f>
        <v>370.8352615968</v>
      </c>
      <c r="H12" s="8" t="n">
        <f aca="false">H11*H6</f>
        <v>383.814495752688</v>
      </c>
    </row>
    <row r="13" customFormat="false" ht="15" hidden="false" customHeight="false" outlineLevel="0" collapsed="false">
      <c r="A13" s="5" t="s">
        <v>140</v>
      </c>
      <c r="C13" s="8" t="n">
        <f aca="false">C11*C7</f>
        <v>86.40052</v>
      </c>
      <c r="D13" s="8" t="n">
        <f aca="false">D11*D7</f>
        <v>90.720546</v>
      </c>
      <c r="E13" s="8" t="n">
        <f aca="false">E11*E7</f>
        <v>95.2565733</v>
      </c>
      <c r="F13" s="8" t="n">
        <f aca="false">F11*F7</f>
        <v>99.5431190985</v>
      </c>
      <c r="G13" s="8" t="n">
        <f aca="false">G11*G7</f>
        <v>103.52484386244</v>
      </c>
      <c r="H13" s="8" t="n">
        <f aca="false">H11*H7</f>
        <v>107.148213397625</v>
      </c>
    </row>
    <row r="14" customFormat="false" ht="15" hidden="false" customHeight="false" outlineLevel="0" collapsed="false">
      <c r="A14" s="5" t="s">
        <v>141</v>
      </c>
      <c r="C14" s="8" t="n">
        <f aca="false">C12-C13</f>
        <v>193.434</v>
      </c>
      <c r="D14" s="8" t="n">
        <f aca="false">D12-D13</f>
        <v>224.093289</v>
      </c>
      <c r="E14" s="8" t="n">
        <f aca="false">E12-E13</f>
        <v>242.40665295</v>
      </c>
      <c r="F14" s="8" t="n">
        <f aca="false">F12-F13</f>
        <v>257.0292478215</v>
      </c>
      <c r="G14" s="8" t="n">
        <f aca="false">G12-G13</f>
        <v>267.31041773436</v>
      </c>
      <c r="H14" s="8" t="n">
        <f aca="false">H12-H13</f>
        <v>276.666282355063</v>
      </c>
    </row>
    <row r="15" customFormat="false" ht="15" hidden="false" customHeight="false" outlineLevel="0" collapsed="false">
      <c r="A15" s="5" t="s">
        <v>142</v>
      </c>
      <c r="C15" s="8" t="n">
        <f aca="false">C14*$B$10</f>
        <v>42.55548</v>
      </c>
      <c r="D15" s="8" t="n">
        <f aca="false">D14*$B$10</f>
        <v>49.30052358</v>
      </c>
      <c r="E15" s="8" t="n">
        <f aca="false">E14*$B$10</f>
        <v>53.329463649</v>
      </c>
      <c r="F15" s="8" t="n">
        <f aca="false">F14*$B$10</f>
        <v>56.54643452073</v>
      </c>
      <c r="G15" s="8" t="n">
        <f aca="false">G14*$B$10</f>
        <v>58.8082919015592</v>
      </c>
      <c r="H15" s="8" t="n">
        <f aca="false">H14*$B$10</f>
        <v>60.8665821181138</v>
      </c>
    </row>
    <row r="16" customFormat="false" ht="15" hidden="false" customHeight="false" outlineLevel="0" collapsed="false">
      <c r="A16" s="5" t="s">
        <v>143</v>
      </c>
      <c r="C16" s="8" t="n">
        <f aca="false">C14-C15</f>
        <v>150.87852</v>
      </c>
      <c r="D16" s="8" t="n">
        <f aca="false">D14-D15</f>
        <v>174.79276542</v>
      </c>
      <c r="E16" s="8" t="n">
        <f aca="false">E14-E15</f>
        <v>189.077189301</v>
      </c>
      <c r="F16" s="8" t="n">
        <f aca="false">F14-F15</f>
        <v>200.48281330077</v>
      </c>
      <c r="G16" s="8" t="n">
        <f aca="false">G14-G15</f>
        <v>208.502125832801</v>
      </c>
      <c r="H16" s="8" t="n">
        <f aca="false">H14-H15</f>
        <v>215.799700236949</v>
      </c>
    </row>
    <row r="17" customFormat="false" ht="15" hidden="false" customHeight="false" outlineLevel="0" collapsed="false">
      <c r="A17" s="5" t="s">
        <v>144</v>
      </c>
      <c r="C17" s="8" t="n">
        <f aca="false">C13</f>
        <v>86.40052</v>
      </c>
      <c r="D17" s="8" t="n">
        <f aca="false">D13</f>
        <v>90.720546</v>
      </c>
      <c r="E17" s="8" t="n">
        <f aca="false">E13</f>
        <v>95.2565733</v>
      </c>
      <c r="F17" s="8" t="n">
        <f aca="false">F13</f>
        <v>99.5431190985</v>
      </c>
      <c r="G17" s="8" t="n">
        <f aca="false">G13</f>
        <v>103.52484386244</v>
      </c>
      <c r="H17" s="8" t="n">
        <f aca="false">H13</f>
        <v>107.148213397625</v>
      </c>
    </row>
    <row r="18" customFormat="false" ht="15" hidden="false" customHeight="false" outlineLevel="0" collapsed="false">
      <c r="A18" s="5" t="s">
        <v>145</v>
      </c>
      <c r="C18" s="8" t="n">
        <f aca="false">C8</f>
        <v>100</v>
      </c>
      <c r="D18" s="8" t="n">
        <f aca="false">D8</f>
        <v>110</v>
      </c>
      <c r="E18" s="8" t="n">
        <f aca="false">E8</f>
        <v>110</v>
      </c>
      <c r="F18" s="8" t="n">
        <f aca="false">F8</f>
        <v>104</v>
      </c>
      <c r="G18" s="8" t="n">
        <f aca="false">G8</f>
        <v>108</v>
      </c>
      <c r="H18" s="8" t="n">
        <f aca="false">H8</f>
        <v>112</v>
      </c>
    </row>
    <row r="19" customFormat="false" ht="15" hidden="false" customHeight="false" outlineLevel="0" collapsed="false">
      <c r="A19" s="5" t="s">
        <v>146</v>
      </c>
      <c r="C19" s="8" t="n">
        <f aca="false">(C11-B11)*$B$9</f>
        <v>7.51199999999999</v>
      </c>
      <c r="D19" s="8" t="n">
        <f aca="false">(D11-C11)*$B$9</f>
        <v>12.8956</v>
      </c>
      <c r="E19" s="8" t="n">
        <f aca="false">(E11-D11)*$B$9</f>
        <v>13.54038</v>
      </c>
      <c r="F19" s="8" t="n">
        <f aca="false">(F11-E11)*$B$9</f>
        <v>12.7956591</v>
      </c>
      <c r="G19" s="8" t="n">
        <f aca="false">(G11-F11)*$B$9</f>
        <v>11.885745564</v>
      </c>
      <c r="H19" s="8" t="n">
        <f aca="false">(H11-G11)*$B$9</f>
        <v>10.81602846324</v>
      </c>
    </row>
    <row r="20" customFormat="false" ht="15" hidden="false" customHeight="false" outlineLevel="0" collapsed="false">
      <c r="A20" s="26" t="s">
        <v>147</v>
      </c>
      <c r="C20" s="32" t="n">
        <f aca="false">C16+C17-C18-C19</f>
        <v>129.76704</v>
      </c>
      <c r="D20" s="32" t="n">
        <f aca="false">D16+D17-D18-D19</f>
        <v>142.61771142</v>
      </c>
      <c r="E20" s="32" t="n">
        <f aca="false">E16+E17-E18-E19</f>
        <v>160.793382601</v>
      </c>
      <c r="F20" s="32" t="n">
        <f aca="false">F16+F17-F18-F19</f>
        <v>183.23027329927</v>
      </c>
      <c r="G20" s="32" t="n">
        <f aca="false">G16+G17-G18-G19</f>
        <v>192.141224131241</v>
      </c>
      <c r="H20" s="32" t="n">
        <f aca="false">H16+H17-H18-H19</f>
        <v>200.131885171334</v>
      </c>
      <c r="I20" s="2" t="s">
        <v>148</v>
      </c>
    </row>
    <row r="21" customFormat="false" ht="15" hidden="false" customHeight="false" outlineLevel="0" collapsed="false">
      <c r="A21" s="5" t="s">
        <v>149</v>
      </c>
      <c r="D21" s="33" t="n">
        <v>1.25</v>
      </c>
      <c r="E21" s="34" t="n">
        <f aca="false">D21+1</f>
        <v>2.25</v>
      </c>
      <c r="F21" s="34" t="n">
        <f aca="false">E21+1</f>
        <v>3.25</v>
      </c>
      <c r="G21" s="34" t="n">
        <f aca="false">F21+1</f>
        <v>4.25</v>
      </c>
      <c r="H21" s="34" t="n">
        <f aca="false">G21+1</f>
        <v>5.25</v>
      </c>
      <c r="I21" s="2" t="s">
        <v>150</v>
      </c>
    </row>
    <row r="22" customFormat="false" ht="15" hidden="false" customHeight="false" outlineLevel="0" collapsed="false">
      <c r="A22" s="5" t="s">
        <v>151</v>
      </c>
      <c r="D22" s="10" t="n">
        <f aca="false">1/(1+$B$37)^D21</f>
        <v>0.911928643572675</v>
      </c>
      <c r="E22" s="10" t="n">
        <f aca="false">1/(1+$B$37)^E21</f>
        <v>0.84708997627992</v>
      </c>
      <c r="F22" s="10" t="n">
        <f aca="false">1/(1+$B$37)^F21</f>
        <v>0.78686137667824</v>
      </c>
      <c r="G22" s="10" t="n">
        <f aca="false">1/(1+$B$37)^G21</f>
        <v>0.730915066221228</v>
      </c>
      <c r="H22" s="10" t="n">
        <f aca="false">1/(1+$B$37)^H21</f>
        <v>0.678946571611481</v>
      </c>
    </row>
    <row r="23" customFormat="false" ht="15" hidden="false" customHeight="false" outlineLevel="0" collapsed="false">
      <c r="A23" s="5" t="s">
        <v>152</v>
      </c>
      <c r="D23" s="8" t="n">
        <f aca="false">D20*D22</f>
        <v>130.05717612468</v>
      </c>
      <c r="E23" s="8" t="n">
        <f aca="false">E20*E22</f>
        <v>136.206462653449</v>
      </c>
      <c r="F23" s="8" t="n">
        <f aca="false">F20*F22</f>
        <v>144.176825097394</v>
      </c>
      <c r="G23" s="8" t="n">
        <f aca="false">G20*G22</f>
        <v>140.438915559714</v>
      </c>
      <c r="H23" s="8" t="n">
        <f aca="false">H20*H22</f>
        <v>135.87885730722</v>
      </c>
    </row>
    <row r="25" customFormat="false" ht="15" hidden="false" customHeight="false" outlineLevel="0" collapsed="false">
      <c r="A25" s="3" t="s">
        <v>153</v>
      </c>
      <c r="B25" s="4"/>
      <c r="C25" s="4"/>
      <c r="D25" s="4"/>
      <c r="E25" s="4"/>
      <c r="F25" s="4"/>
      <c r="G25" s="4"/>
      <c r="H25" s="4"/>
      <c r="I25" s="4"/>
    </row>
    <row r="26" customFormat="false" ht="15" hidden="false" customHeight="false" outlineLevel="0" collapsed="false">
      <c r="A26" s="5" t="s">
        <v>154</v>
      </c>
      <c r="B26" s="31" t="n">
        <v>0.0358</v>
      </c>
      <c r="I26" s="2" t="s">
        <v>155</v>
      </c>
    </row>
    <row r="27" customFormat="false" ht="15" hidden="false" customHeight="false" outlineLevel="0" collapsed="false">
      <c r="A27" s="5" t="s">
        <v>156</v>
      </c>
      <c r="B27" s="19" t="n">
        <v>0.85</v>
      </c>
      <c r="I27" s="2" t="s">
        <v>157</v>
      </c>
    </row>
    <row r="28" customFormat="false" ht="15" hidden="false" customHeight="false" outlineLevel="0" collapsed="false">
      <c r="A28" s="5" t="s">
        <v>158</v>
      </c>
      <c r="B28" s="31" t="n">
        <v>0.055</v>
      </c>
      <c r="I28" s="2" t="s">
        <v>159</v>
      </c>
    </row>
    <row r="29" customFormat="false" ht="15" hidden="false" customHeight="false" outlineLevel="0" collapsed="false">
      <c r="A29" s="5" t="s">
        <v>160</v>
      </c>
      <c r="B29" s="13" t="n">
        <f aca="false">B26+B27*B28</f>
        <v>0.08255</v>
      </c>
      <c r="I29" s="2" t="s">
        <v>161</v>
      </c>
    </row>
    <row r="30" customFormat="false" ht="15" hidden="false" customHeight="false" outlineLevel="0" collapsed="false">
      <c r="A30" s="5" t="s">
        <v>162</v>
      </c>
      <c r="B30" s="31" t="n">
        <v>0.038</v>
      </c>
      <c r="I30" s="2" t="s">
        <v>163</v>
      </c>
    </row>
    <row r="31" customFormat="false" ht="15" hidden="false" customHeight="false" outlineLevel="0" collapsed="false">
      <c r="A31" s="5" t="s">
        <v>164</v>
      </c>
      <c r="B31" s="13" t="n">
        <f aca="false">B30*(1-B10)</f>
        <v>0.02964</v>
      </c>
      <c r="I31" s="2"/>
    </row>
    <row r="32" customFormat="false" ht="15" hidden="false" customHeight="false" outlineLevel="0" collapsed="false">
      <c r="A32" s="5" t="s">
        <v>165</v>
      </c>
      <c r="B32" s="24" t="n">
        <f aca="false">Inputs!B6</f>
        <v>2481.060825</v>
      </c>
      <c r="I32" s="2"/>
    </row>
    <row r="33" customFormat="false" ht="15" hidden="false" customHeight="false" outlineLevel="0" collapsed="false">
      <c r="A33" s="5" t="s">
        <v>166</v>
      </c>
      <c r="B33" s="24" t="n">
        <f aca="false">Inputs!B12</f>
        <v>317.7664</v>
      </c>
      <c r="I33" s="2"/>
    </row>
    <row r="34" customFormat="false" ht="15" hidden="false" customHeight="false" outlineLevel="0" collapsed="false">
      <c r="A34" s="5" t="s">
        <v>167</v>
      </c>
      <c r="B34" s="13" t="n">
        <f aca="false">B32/(B32+B33)</f>
        <v>0.886464445835881</v>
      </c>
      <c r="I34" s="2" t="s">
        <v>168</v>
      </c>
    </row>
    <row r="35" customFormat="false" ht="15" hidden="false" customHeight="false" outlineLevel="0" collapsed="false">
      <c r="A35" s="5" t="s">
        <v>169</v>
      </c>
      <c r="B35" s="13" t="n">
        <f aca="false">B33/(B32+B33)</f>
        <v>0.11353555416412</v>
      </c>
      <c r="I35" s="2"/>
    </row>
    <row r="36" customFormat="false" ht="15" hidden="false" customHeight="false" outlineLevel="0" collapsed="false">
      <c r="A36" s="5" t="s">
        <v>170</v>
      </c>
      <c r="B36" s="20" t="n">
        <v>0.02</v>
      </c>
      <c r="I36" s="2" t="s">
        <v>171</v>
      </c>
    </row>
    <row r="37" customFormat="false" ht="15" hidden="false" customHeight="false" outlineLevel="0" collapsed="false">
      <c r="A37" s="26" t="s">
        <v>153</v>
      </c>
      <c r="B37" s="35" t="n">
        <f aca="false">B34*B29+B35*B31</f>
        <v>0.0765428338291764</v>
      </c>
      <c r="I37" s="2"/>
    </row>
    <row r="39" customFormat="false" ht="15" hidden="false" customHeight="false" outlineLevel="0" collapsed="false">
      <c r="A39" s="3" t="s">
        <v>172</v>
      </c>
      <c r="B39" s="4"/>
      <c r="C39" s="4"/>
      <c r="D39" s="4"/>
      <c r="E39" s="4"/>
      <c r="F39" s="4"/>
      <c r="G39" s="4"/>
      <c r="H39" s="4"/>
      <c r="I39" s="4"/>
    </row>
    <row r="40" customFormat="false" ht="15" hidden="false" customHeight="false" outlineLevel="0" collapsed="false">
      <c r="A40" s="5" t="s">
        <v>173</v>
      </c>
      <c r="B40" s="8" t="n">
        <f aca="false">SUM(D23:H23)</f>
        <v>686.758236742456</v>
      </c>
    </row>
    <row r="41" customFormat="false" ht="15" hidden="false" customHeight="false" outlineLevel="0" collapsed="false">
      <c r="A41" s="5" t="s">
        <v>174</v>
      </c>
      <c r="B41" s="8" t="n">
        <f aca="false">H20*(1+B36)</f>
        <v>204.134522874761</v>
      </c>
    </row>
    <row r="42" customFormat="false" ht="15" hidden="false" customHeight="false" outlineLevel="0" collapsed="false">
      <c r="A42" s="5" t="s">
        <v>175</v>
      </c>
      <c r="B42" s="8" t="n">
        <f aca="false">B41/(B37-B36)</f>
        <v>3610.26338884038</v>
      </c>
    </row>
    <row r="43" customFormat="false" ht="15" hidden="false" customHeight="false" outlineLevel="0" collapsed="false">
      <c r="A43" s="5" t="s">
        <v>176</v>
      </c>
      <c r="B43" s="8" t="n">
        <f aca="false">B42*H22</f>
        <v>2451.17595046762</v>
      </c>
    </row>
    <row r="44" customFormat="false" ht="15" hidden="false" customHeight="false" outlineLevel="0" collapsed="false">
      <c r="A44" s="26" t="s">
        <v>177</v>
      </c>
      <c r="B44" s="8" t="n">
        <f aca="false">B40+B43</f>
        <v>3137.93418721008</v>
      </c>
    </row>
    <row r="45" customFormat="false" ht="15" hidden="false" customHeight="false" outlineLevel="0" collapsed="false">
      <c r="A45" s="5" t="s">
        <v>178</v>
      </c>
      <c r="B45" s="13" t="n">
        <f aca="false">B43/B44</f>
        <v>0.781143199388433</v>
      </c>
    </row>
    <row r="46" customFormat="false" ht="15" hidden="false" customHeight="false" outlineLevel="0" collapsed="false">
      <c r="A46" s="5" t="s">
        <v>179</v>
      </c>
      <c r="B46" s="14" t="n">
        <f aca="false">B42/H12</f>
        <v>9.40627159419915</v>
      </c>
    </row>
    <row r="47" customFormat="false" ht="15" hidden="false" customHeight="false" outlineLevel="0" collapsed="false">
      <c r="A47" s="5" t="s">
        <v>180</v>
      </c>
      <c r="B47" s="24" t="n">
        <f aca="false">Inputs!B12</f>
        <v>317.7664</v>
      </c>
    </row>
    <row r="48" customFormat="false" ht="15" hidden="false" customHeight="false" outlineLevel="0" collapsed="false">
      <c r="A48" s="5" t="s">
        <v>181</v>
      </c>
      <c r="B48" s="8" t="n">
        <f aca="false">B44-B47</f>
        <v>2820.16778721008</v>
      </c>
    </row>
    <row r="49" customFormat="false" ht="15" hidden="false" customHeight="false" outlineLevel="0" collapsed="false">
      <c r="A49" s="26" t="s">
        <v>182</v>
      </c>
      <c r="B49" s="36" t="n">
        <f aca="false">B48/Inputs!B5</f>
        <v>61.0396200879844</v>
      </c>
    </row>
    <row r="50" customFormat="false" ht="15" hidden="false" customHeight="false" outlineLevel="0" collapsed="false">
      <c r="A50" s="5" t="s">
        <v>183</v>
      </c>
      <c r="B50" s="13" t="n">
        <f aca="false">B49/Inputs!B4-1</f>
        <v>0.136678213928946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10" min="2" style="0" width="11"/>
  </cols>
  <sheetData>
    <row r="1" customFormat="false" ht="17.35" hidden="false" customHeight="false" outlineLevel="0" collapsed="false">
      <c r="A1" s="1" t="s">
        <v>184</v>
      </c>
    </row>
    <row r="3" customFormat="false" ht="15" hidden="false" customHeight="false" outlineLevel="0" collapsed="false">
      <c r="A3" s="26" t="s">
        <v>185</v>
      </c>
    </row>
    <row r="4" customFormat="false" ht="15" hidden="false" customHeight="false" outlineLevel="0" collapsed="false">
      <c r="A4" s="26" t="s">
        <v>186</v>
      </c>
      <c r="B4" s="31" t="n">
        <v>0.01</v>
      </c>
      <c r="C4" s="31" t="n">
        <v>0.015</v>
      </c>
      <c r="D4" s="31" t="n">
        <v>0.02</v>
      </c>
      <c r="E4" s="31" t="n">
        <v>0.025</v>
      </c>
      <c r="F4" s="31" t="n">
        <v>0.03</v>
      </c>
    </row>
    <row r="5" customFormat="false" ht="15" hidden="false" customHeight="false" outlineLevel="0" collapsed="false">
      <c r="A5" s="31" t="n">
        <v>0.065</v>
      </c>
      <c r="B5" s="21" t="n">
        <f aca="false">(SUMPRODUCT(DCF!$D$20:$H$20,1/(1+$A5)^DCF!$D$21:$H$21)+DCF!$H$20*(1+B$4)/($A5-B$4)/(1+$A5)^DCF!$H$21-Inputs!$B$12)/Inputs!$B$5</f>
        <v>65.6733656044364</v>
      </c>
      <c r="C5" s="21" t="n">
        <f aca="false">(SUMPRODUCT(DCF!$D$20:$H$20,1/(1+$A5)^DCF!$D$21:$H$21)+DCF!$H$20*(1+C$4)/($A5-C$4)/(1+$A5)^DCF!$H$21-Inputs!$B$12)/Inputs!$B$5</f>
        <v>71.6997195850261</v>
      </c>
      <c r="D5" s="21" t="n">
        <f aca="false">(SUMPRODUCT(DCF!$D$20:$H$20,1/(1+$A5)^DCF!$D$21:$H$21)+DCF!$H$20*(1+D$4)/($A5-D$4)/(1+$A5)^DCF!$H$21-Inputs!$B$12)/Inputs!$B$5</f>
        <v>79.0652633390802</v>
      </c>
      <c r="E5" s="21" t="n">
        <f aca="false">(SUMPRODUCT(DCF!$D$20:$H$20,1/(1+$A5)^DCF!$D$21:$H$21)+DCF!$H$20*(1+E$4)/($A5-E$4)/(1+$A5)^DCF!$H$21-Inputs!$B$12)/Inputs!$B$5</f>
        <v>88.2721930316478</v>
      </c>
      <c r="F5" s="21" t="n">
        <f aca="false">(SUMPRODUCT(DCF!$D$20:$H$20,1/(1+$A5)^DCF!$D$21:$H$21)+DCF!$H$20*(1+F$4)/($A5-F$4)/(1+$A5)^DCF!$H$21-Inputs!$B$12)/Inputs!$B$5</f>
        <v>100.109674064949</v>
      </c>
    </row>
    <row r="6" customFormat="false" ht="15" hidden="false" customHeight="false" outlineLevel="0" collapsed="false">
      <c r="A6" s="31" t="n">
        <v>0.07</v>
      </c>
      <c r="B6" s="21" t="n">
        <f aca="false">(SUMPRODUCT(DCF!$D$20:$H$20,1/(1+$A6)^DCF!$D$21:$H$21)+DCF!$H$20*(1+B$4)/($A6-B$4)/(1+$A6)^DCF!$H$21-Inputs!$B$12)/Inputs!$B$5</f>
        <v>59.4027553723555</v>
      </c>
      <c r="C6" s="21" t="n">
        <f aca="false">(SUMPRODUCT(DCF!$D$20:$H$20,1/(1+$A6)^DCF!$D$21:$H$21)+DCF!$H$20*(1+C$4)/($A6-C$4)/(1+$A6)^DCF!$H$21-Inputs!$B$12)/Inputs!$B$5</f>
        <v>64.3257364880118</v>
      </c>
      <c r="D6" s="21" t="n">
        <f aca="false">(SUMPRODUCT(DCF!$D$20:$H$20,1/(1+$A6)^DCF!$D$21:$H$21)+DCF!$H$20*(1+D$4)/($A6-D$4)/(1+$A6)^DCF!$H$21-Inputs!$B$12)/Inputs!$B$5</f>
        <v>70.2333138267992</v>
      </c>
      <c r="E6" s="21" t="n">
        <f aca="false">(SUMPRODUCT(DCF!$D$20:$H$20,1/(1+$A6)^DCF!$D$21:$H$21)+DCF!$H$20*(1+E$4)/($A6-E$4)/(1+$A6)^DCF!$H$21-Inputs!$B$12)/Inputs!$B$5</f>
        <v>77.4536861297617</v>
      </c>
      <c r="F6" s="21" t="n">
        <f aca="false">(SUMPRODUCT(DCF!$D$20:$H$20,1/(1+$A6)^DCF!$D$21:$H$21)+DCF!$H$20*(1+F$4)/($A6-F$4)/(1+$A6)^DCF!$H$21-Inputs!$B$12)/Inputs!$B$5</f>
        <v>86.4791515084648</v>
      </c>
    </row>
    <row r="7" customFormat="false" ht="15" hidden="false" customHeight="false" outlineLevel="0" collapsed="false">
      <c r="A7" s="31" t="n">
        <v>0.075</v>
      </c>
      <c r="B7" s="21" t="n">
        <f aca="false">(SUMPRODUCT(DCF!$D$20:$H$20,1/(1+$A7)^DCF!$D$21:$H$21)+DCF!$H$20*(1+B$4)/($A7-B$4)/(1+$A7)^DCF!$H$21-Inputs!$B$12)/Inputs!$B$5</f>
        <v>54.0997481636295</v>
      </c>
      <c r="C7" s="21" t="n">
        <f aca="false">(SUMPRODUCT(DCF!$D$20:$H$20,1/(1+$A7)^DCF!$D$21:$H$21)+DCF!$H$20*(1+C$4)/($A7-C$4)/(1+$A7)^DCF!$H$21-Inputs!$B$12)/Inputs!$B$5</f>
        <v>58.1836245189754</v>
      </c>
      <c r="D7" s="21" t="n">
        <f aca="false">(SUMPRODUCT(DCF!$D$20:$H$20,1/(1+$A7)^DCF!$D$21:$H$21)+DCF!$H$20*(1+D$4)/($A7-D$4)/(1+$A7)^DCF!$H$21-Inputs!$B$12)/Inputs!$B$5</f>
        <v>63.0100238480205</v>
      </c>
      <c r="E7" s="21" t="n">
        <f aca="false">(SUMPRODUCT(DCF!$D$20:$H$20,1/(1+$A7)^DCF!$D$21:$H$21)+DCF!$H$20*(1+E$4)/($A7-E$4)/(1+$A7)^DCF!$H$21-Inputs!$B$12)/Inputs!$B$5</f>
        <v>68.8017030428747</v>
      </c>
      <c r="F7" s="21" t="n">
        <f aca="false">(SUMPRODUCT(DCF!$D$20:$H$20,1/(1+$A7)^DCF!$D$21:$H$21)+DCF!$H$20*(1+F$4)/($A7-F$4)/(1+$A7)^DCF!$H$21-Inputs!$B$12)/Inputs!$B$5</f>
        <v>75.8804220588076</v>
      </c>
    </row>
    <row r="8" customFormat="false" ht="15" hidden="false" customHeight="false" outlineLevel="0" collapsed="false">
      <c r="A8" s="31" t="n">
        <v>0.08</v>
      </c>
      <c r="B8" s="21" t="n">
        <f aca="false">(SUMPRODUCT(DCF!$D$20:$H$20,1/(1+$A8)^DCF!$D$21:$H$21)+DCF!$H$20*(1+B$4)/($A8-B$4)/(1+$A8)^DCF!$H$21-Inputs!$B$12)/Inputs!$B$5</f>
        <v>49.556943155236</v>
      </c>
      <c r="C8" s="21" t="n">
        <f aca="false">(SUMPRODUCT(DCF!$D$20:$H$20,1/(1+$A8)^DCF!$D$21:$H$21)+DCF!$H$20*(1+C$4)/($A8-C$4)/(1+$A8)^DCF!$H$21-Inputs!$B$12)/Inputs!$B$5</f>
        <v>52.9890500633423</v>
      </c>
      <c r="D8" s="21" t="n">
        <f aca="false">(SUMPRODUCT(DCF!$D$20:$H$20,1/(1+$A8)^DCF!$D$21:$H$21)+DCF!$H$20*(1+D$4)/($A8-D$4)/(1+$A8)^DCF!$H$21-Inputs!$B$12)/Inputs!$B$5</f>
        <v>56.9931747894664</v>
      </c>
      <c r="E8" s="21" t="n">
        <f aca="false">(SUMPRODUCT(DCF!$D$20:$H$20,1/(1+$A8)^DCF!$D$21:$H$21)+DCF!$H$20*(1+E$4)/($A8-E$4)/(1+$A8)^DCF!$H$21-Inputs!$B$12)/Inputs!$B$5</f>
        <v>61.7253221930675</v>
      </c>
      <c r="F8" s="21" t="n">
        <f aca="false">(SUMPRODUCT(DCF!$D$20:$H$20,1/(1+$A8)^DCF!$D$21:$H$21)+DCF!$H$20*(1+F$4)/($A8-F$4)/(1+$A8)^DCF!$H$21-Inputs!$B$12)/Inputs!$B$5</f>
        <v>67.4038990773889</v>
      </c>
    </row>
    <row r="9" customFormat="false" ht="15" hidden="false" customHeight="false" outlineLevel="0" collapsed="false">
      <c r="A9" s="31" t="n">
        <v>0.085</v>
      </c>
      <c r="B9" s="21" t="n">
        <f aca="false">(SUMPRODUCT(DCF!$D$20:$H$20,1/(1+$A9)^DCF!$D$21:$H$21)+DCF!$H$20*(1+B$4)/($A9-B$4)/(1+$A9)^DCF!$H$21-Inputs!$B$12)/Inputs!$B$5</f>
        <v>45.6222478761691</v>
      </c>
      <c r="C9" s="21" t="n">
        <f aca="false">(SUMPRODUCT(DCF!$D$20:$H$20,1/(1+$A9)^DCF!$D$21:$H$21)+DCF!$H$20*(1+C$4)/($A9-C$4)/(1+$A9)^DCF!$H$21-Inputs!$B$12)/Inputs!$B$5</f>
        <v>48.538919082018</v>
      </c>
      <c r="D9" s="21" t="n">
        <f aca="false">(SUMPRODUCT(DCF!$D$20:$H$20,1/(1+$A9)^DCF!$D$21:$H$21)+DCF!$H$20*(1+D$4)/($A9-D$4)/(1+$A9)^DCF!$H$21-Inputs!$B$12)/Inputs!$B$5</f>
        <v>51.9043089349206</v>
      </c>
      <c r="E9" s="21" t="n">
        <f aca="false">(SUMPRODUCT(DCF!$D$20:$H$20,1/(1+$A9)^DCF!$D$21:$H$21)+DCF!$H$20*(1+E$4)/($A9-E$4)/(1+$A9)^DCF!$H$21-Inputs!$B$12)/Inputs!$B$5</f>
        <v>55.8305970966402</v>
      </c>
      <c r="F9" s="21" t="n">
        <f aca="false">(SUMPRODUCT(DCF!$D$20:$H$20,1/(1+$A9)^DCF!$D$21:$H$21)+DCF!$H$20*(1+F$4)/($A9-F$4)/(1+$A9)^DCF!$H$21-Inputs!$B$12)/Inputs!$B$5</f>
        <v>60.4707558332181</v>
      </c>
    </row>
    <row r="10" customFormat="false" ht="15" hidden="false" customHeight="false" outlineLevel="0" collapsed="false">
      <c r="A10" s="31" t="n">
        <v>0.09</v>
      </c>
      <c r="B10" s="21" t="n">
        <f aca="false">(SUMPRODUCT(DCF!$D$20:$H$20,1/(1+$A10)^DCF!$D$21:$H$21)+DCF!$H$20*(1+B$4)/($A10-B$4)/(1+$A10)^DCF!$H$21-Inputs!$B$12)/Inputs!$B$5</f>
        <v>42.1815943022801</v>
      </c>
      <c r="C10" s="21" t="n">
        <f aca="false">(SUMPRODUCT(DCF!$D$20:$H$20,1/(1+$A10)^DCF!$D$21:$H$21)+DCF!$H$20*(1+C$4)/($A10-C$4)/(1+$A10)^DCF!$H$21-Inputs!$B$12)/Inputs!$B$5</f>
        <v>44.684297210335</v>
      </c>
      <c r="D10" s="21" t="n">
        <f aca="false">(SUMPRODUCT(DCF!$D$20:$H$20,1/(1+$A10)^DCF!$D$21:$H$21)+DCF!$H$20*(1+D$4)/($A10-D$4)/(1+$A10)^DCF!$H$21-Inputs!$B$12)/Inputs!$B$5</f>
        <v>47.5445291052548</v>
      </c>
      <c r="E10" s="21" t="n">
        <f aca="false">(SUMPRODUCT(DCF!$D$20:$H$20,1/(1+$A10)^DCF!$D$21:$H$21)+DCF!$H$20*(1+E$4)/($A10-E$4)/(1+$A10)^DCF!$H$21-Inputs!$B$12)/Inputs!$B$5</f>
        <v>50.8447966763161</v>
      </c>
      <c r="F10" s="21" t="n">
        <f aca="false">(SUMPRODUCT(DCF!$D$20:$H$20,1/(1+$A10)^DCF!$D$21:$H$21)+DCF!$H$20*(1+F$4)/($A10-F$4)/(1+$A10)^DCF!$H$21-Inputs!$B$12)/Inputs!$B$5</f>
        <v>54.6951088425544</v>
      </c>
    </row>
    <row r="12" customFormat="false" ht="15" hidden="false" customHeight="false" outlineLevel="0" collapsed="false">
      <c r="A12" s="26" t="s">
        <v>187</v>
      </c>
    </row>
    <row r="13" customFormat="false" ht="15" hidden="false" customHeight="false" outlineLevel="0" collapsed="false">
      <c r="A13" s="26" t="s">
        <v>188</v>
      </c>
      <c r="B13" s="37" t="n">
        <v>8</v>
      </c>
      <c r="C13" s="37" t="n">
        <v>9</v>
      </c>
      <c r="D13" s="37" t="n">
        <v>10</v>
      </c>
      <c r="E13" s="37" t="n">
        <v>11</v>
      </c>
      <c r="F13" s="37" t="n">
        <v>12</v>
      </c>
    </row>
    <row r="14" customFormat="false" ht="15" hidden="false" customHeight="false" outlineLevel="0" collapsed="false">
      <c r="A14" s="12" t="n">
        <v>280</v>
      </c>
      <c r="B14" s="21" t="n">
        <f aca="false">($A14*B$13-Inputs!$B$12)/Inputs!$B$5</f>
        <v>41.6047616728623</v>
      </c>
      <c r="C14" s="21" t="n">
        <f aca="false">($A14*C$13-Inputs!$B$12)/Inputs!$B$5</f>
        <v>47.6650725884562</v>
      </c>
      <c r="D14" s="21" t="n">
        <f aca="false">($A14*D$13-Inputs!$B$12)/Inputs!$B$5</f>
        <v>53.7253835040501</v>
      </c>
      <c r="E14" s="21" t="n">
        <f aca="false">($A14*E$13-Inputs!$B$12)/Inputs!$B$5</f>
        <v>59.7856944196441</v>
      </c>
      <c r="F14" s="21" t="n">
        <f aca="false">($A14*F$13-Inputs!$B$12)/Inputs!$B$5</f>
        <v>65.846005335238</v>
      </c>
    </row>
    <row r="15" customFormat="false" ht="15" hidden="false" customHeight="false" outlineLevel="0" collapsed="false">
      <c r="A15" s="12" t="n">
        <v>290</v>
      </c>
      <c r="B15" s="21" t="n">
        <f aca="false">($A15*B$13-Inputs!$B$12)/Inputs!$B$5</f>
        <v>43.3362790773177</v>
      </c>
      <c r="C15" s="21" t="n">
        <f aca="false">($A15*C$13-Inputs!$B$12)/Inputs!$B$5</f>
        <v>49.6130296684685</v>
      </c>
      <c r="D15" s="21" t="n">
        <f aca="false">($A15*D$13-Inputs!$B$12)/Inputs!$B$5</f>
        <v>55.8897802596194</v>
      </c>
      <c r="E15" s="21" t="n">
        <f aca="false">($A15*E$13-Inputs!$B$12)/Inputs!$B$5</f>
        <v>62.1665308507703</v>
      </c>
      <c r="F15" s="21" t="n">
        <f aca="false">($A15*F$13-Inputs!$B$12)/Inputs!$B$5</f>
        <v>68.4432814419211</v>
      </c>
    </row>
    <row r="16" customFormat="false" ht="15" hidden="false" customHeight="false" outlineLevel="0" collapsed="false">
      <c r="A16" s="12" t="n">
        <v>300</v>
      </c>
      <c r="B16" s="21" t="n">
        <f aca="false">($A16*B$13-Inputs!$B$12)/Inputs!$B$5</f>
        <v>45.0677964817731</v>
      </c>
      <c r="C16" s="21" t="n">
        <f aca="false">($A16*C$13-Inputs!$B$12)/Inputs!$B$5</f>
        <v>51.5609867484809</v>
      </c>
      <c r="D16" s="21" t="n">
        <f aca="false">($A16*D$13-Inputs!$B$12)/Inputs!$B$5</f>
        <v>58.0541770151887</v>
      </c>
      <c r="E16" s="21" t="n">
        <f aca="false">($A16*E$13-Inputs!$B$12)/Inputs!$B$5</f>
        <v>64.5473672818964</v>
      </c>
      <c r="F16" s="21" t="n">
        <f aca="false">($A16*F$13-Inputs!$B$12)/Inputs!$B$5</f>
        <v>71.0405575486042</v>
      </c>
    </row>
    <row r="17" customFormat="false" ht="15" hidden="false" customHeight="false" outlineLevel="0" collapsed="false">
      <c r="A17" s="12" t="n">
        <v>315</v>
      </c>
      <c r="B17" s="21" t="n">
        <f aca="false">($A17*B$13-Inputs!$B$12)/Inputs!$B$5</f>
        <v>47.6650725884562</v>
      </c>
      <c r="C17" s="21" t="n">
        <f aca="false">($A17*C$13-Inputs!$B$12)/Inputs!$B$5</f>
        <v>54.4829223684994</v>
      </c>
      <c r="D17" s="21" t="n">
        <f aca="false">($A17*D$13-Inputs!$B$12)/Inputs!$B$5</f>
        <v>61.3007721485426</v>
      </c>
      <c r="E17" s="21" t="n">
        <f aca="false">($A17*E$13-Inputs!$B$12)/Inputs!$B$5</f>
        <v>68.1186219285857</v>
      </c>
      <c r="F17" s="21" t="n">
        <f aca="false">($A17*F$13-Inputs!$B$12)/Inputs!$B$5</f>
        <v>74.9364717086289</v>
      </c>
    </row>
    <row r="18" customFormat="false" ht="15" hidden="false" customHeight="false" outlineLevel="0" collapsed="false">
      <c r="A18" s="12" t="n">
        <v>328.06</v>
      </c>
      <c r="B18" s="21" t="n">
        <f aca="false">($A18*B$13-Inputs!$B$12)/Inputs!$B$5</f>
        <v>49.926434318675</v>
      </c>
      <c r="C18" s="21" t="n">
        <f aca="false">($A18*C$13-Inputs!$B$12)/Inputs!$B$5</f>
        <v>57.0269543149955</v>
      </c>
      <c r="D18" s="21" t="n">
        <f aca="false">($A18*D$13-Inputs!$B$12)/Inputs!$B$5</f>
        <v>64.127474311316</v>
      </c>
      <c r="E18" s="21" t="n">
        <f aca="false">($A18*E$13-Inputs!$B$12)/Inputs!$B$5</f>
        <v>71.2279943076365</v>
      </c>
      <c r="F18" s="21" t="n">
        <f aca="false">($A18*F$13-Inputs!$B$12)/Inputs!$B$5</f>
        <v>78.3285143039571</v>
      </c>
    </row>
    <row r="19" customFormat="false" ht="15" hidden="false" customHeight="false" outlineLevel="0" collapsed="false">
      <c r="A19" s="12" t="n">
        <v>340</v>
      </c>
      <c r="B19" s="21" t="n">
        <f aca="false">($A19*B$13-Inputs!$B$12)/Inputs!$B$5</f>
        <v>51.9938660995947</v>
      </c>
      <c r="C19" s="21" t="n">
        <f aca="false">($A19*C$13-Inputs!$B$12)/Inputs!$B$5</f>
        <v>59.3528150685302</v>
      </c>
      <c r="D19" s="21" t="n">
        <f aca="false">($A19*D$13-Inputs!$B$12)/Inputs!$B$5</f>
        <v>66.7117640374657</v>
      </c>
      <c r="E19" s="21" t="n">
        <f aca="false">($A19*E$13-Inputs!$B$12)/Inputs!$B$5</f>
        <v>74.0707130064012</v>
      </c>
      <c r="F19" s="21" t="n">
        <f aca="false">($A19*F$13-Inputs!$B$12)/Inputs!$B$5</f>
        <v>81.4296619753367</v>
      </c>
    </row>
    <row r="20" customFormat="false" ht="15" hidden="false" customHeight="false" outlineLevel="0" collapsed="false">
      <c r="A20" s="12" t="n">
        <v>355</v>
      </c>
      <c r="B20" s="21" t="n">
        <f aca="false">($A20*B$13-Inputs!$B$12)/Inputs!$B$5</f>
        <v>54.5911422062778</v>
      </c>
      <c r="C20" s="21" t="n">
        <f aca="false">($A20*C$13-Inputs!$B$12)/Inputs!$B$5</f>
        <v>62.2747506885487</v>
      </c>
      <c r="D20" s="21" t="n">
        <f aca="false">($A20*D$13-Inputs!$B$12)/Inputs!$B$5</f>
        <v>69.9583591708196</v>
      </c>
      <c r="E20" s="21" t="n">
        <f aca="false">($A20*E$13-Inputs!$B$12)/Inputs!$B$5</f>
        <v>77.6419676530905</v>
      </c>
      <c r="F20" s="21" t="n">
        <f aca="false">($A20*F$13-Inputs!$B$12)/Inputs!$B$5</f>
        <v>85.3255761353614</v>
      </c>
    </row>
    <row r="22" customFormat="false" ht="15" hidden="false" customHeight="false" outlineLevel="0" collapsed="false">
      <c r="A22" s="2" t="s">
        <v>189</v>
      </c>
    </row>
  </sheetData>
  <conditionalFormatting sqref="B5:F10">
    <cfRule type="cellIs" priority="2" operator="greaterThanOrEqual" aboveAverage="0" equalAverage="0" bottom="0" percent="0" rank="0" text="" dxfId="0">
      <formula>Inputs!$B$4</formula>
    </cfRule>
    <cfRule type="cellIs" priority="3" operator="lessThan" aboveAverage="0" equalAverage="0" bottom="0" percent="0" rank="0" text="" dxfId="1">
      <formula>Inputs!$B$4</formula>
    </cfRule>
  </conditionalFormatting>
  <conditionalFormatting sqref="B14:F20">
    <cfRule type="cellIs" priority="4" operator="greaterThanOrEqual" aboveAverage="0" equalAverage="0" bottom="0" percent="0" rank="0" text="" dxfId="0">
      <formula>Inputs!$B$4</formula>
    </cfRule>
    <cfRule type="cellIs" priority="5" operator="lessThan" aboveAverage="0" equalAverage="0" bottom="0" percent="0" rank="0" text="" dxfId="1">
      <formula>Inputs!$B$4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5" min="2" style="0" width="12"/>
    <col collapsed="false" customWidth="true" hidden="false" outlineLevel="0" max="6" min="6" style="0" width="50"/>
  </cols>
  <sheetData>
    <row r="1" customFormat="false" ht="17.35" hidden="false" customHeight="false" outlineLevel="0" collapsed="false">
      <c r="A1" s="1" t="s">
        <v>190</v>
      </c>
    </row>
    <row r="3" customFormat="false" ht="15" hidden="false" customHeight="false" outlineLevel="0" collapsed="false">
      <c r="A3" s="15" t="s">
        <v>191</v>
      </c>
      <c r="B3" s="16" t="s">
        <v>192</v>
      </c>
      <c r="C3" s="16" t="s">
        <v>193</v>
      </c>
      <c r="D3" s="16" t="s">
        <v>194</v>
      </c>
      <c r="E3" s="16" t="s">
        <v>195</v>
      </c>
      <c r="F3" s="16" t="s">
        <v>196</v>
      </c>
    </row>
    <row r="4" customFormat="false" ht="15" hidden="false" customHeight="false" outlineLevel="0" collapsed="false">
      <c r="A4" s="5" t="s">
        <v>138</v>
      </c>
      <c r="B4" s="9" t="n">
        <v>629.8</v>
      </c>
      <c r="C4" s="9" t="n">
        <v>618.8</v>
      </c>
      <c r="D4" s="13" t="n">
        <f aca="false">B4/C4-1</f>
        <v>0.017776341305753</v>
      </c>
      <c r="E4" s="31" t="n">
        <v>0.048</v>
      </c>
      <c r="F4" s="2" t="s">
        <v>197</v>
      </c>
    </row>
    <row r="5" customFormat="false" ht="15" hidden="false" customHeight="false" outlineLevel="0" collapsed="false">
      <c r="A5" s="5" t="s">
        <v>139</v>
      </c>
      <c r="B5" s="9" t="n">
        <v>134.5</v>
      </c>
      <c r="C5" s="9" t="n">
        <v>145.2</v>
      </c>
      <c r="D5" s="13" t="n">
        <f aca="false">B5/C5-1</f>
        <v>-0.0736914600550963</v>
      </c>
      <c r="E5" s="31" t="n">
        <v>0.031</v>
      </c>
      <c r="F5" s="2" t="s">
        <v>197</v>
      </c>
    </row>
    <row r="6" customFormat="false" ht="15" hidden="false" customHeight="false" outlineLevel="0" collapsed="false">
      <c r="A6" s="5" t="s">
        <v>198</v>
      </c>
      <c r="B6" s="9" t="n">
        <v>91.8</v>
      </c>
      <c r="C6" s="9" t="n">
        <v>101.8</v>
      </c>
      <c r="D6" s="13" t="n">
        <f aca="false">B6/C6-1</f>
        <v>-0.0982318271119843</v>
      </c>
      <c r="F6" s="2" t="s">
        <v>197</v>
      </c>
    </row>
    <row r="7" customFormat="false" ht="15" hidden="false" customHeight="false" outlineLevel="0" collapsed="false">
      <c r="A7" s="5" t="s">
        <v>199</v>
      </c>
      <c r="B7" s="9" t="n">
        <v>-1.3</v>
      </c>
      <c r="C7" s="9" t="n">
        <v>-18.1</v>
      </c>
      <c r="D7" s="13" t="n">
        <f aca="false">B7/C7-1</f>
        <v>-0.928176795580111</v>
      </c>
      <c r="F7" s="2" t="s">
        <v>200</v>
      </c>
    </row>
    <row r="8" customFormat="false" ht="15" hidden="false" customHeight="false" outlineLevel="0" collapsed="false">
      <c r="A8" s="5" t="s">
        <v>201</v>
      </c>
      <c r="B8" s="9" t="n">
        <v>90.5</v>
      </c>
      <c r="C8" s="9" t="n">
        <v>83.7</v>
      </c>
      <c r="D8" s="13" t="n">
        <f aca="false">B8/C8-1</f>
        <v>0.081242532855436</v>
      </c>
      <c r="F8" s="2" t="s">
        <v>197</v>
      </c>
    </row>
    <row r="9" customFormat="false" ht="15" hidden="false" customHeight="false" outlineLevel="0" collapsed="false">
      <c r="A9" s="5" t="s">
        <v>202</v>
      </c>
      <c r="B9" s="9" t="n">
        <v>-19.5</v>
      </c>
      <c r="C9" s="9" t="n">
        <v>-14</v>
      </c>
      <c r="D9" s="13" t="n">
        <f aca="false">B9/C9-1</f>
        <v>0.392857142857143</v>
      </c>
      <c r="F9" s="2" t="s">
        <v>197</v>
      </c>
    </row>
    <row r="10" customFormat="false" ht="15" hidden="false" customHeight="false" outlineLevel="0" collapsed="false">
      <c r="A10" s="5" t="s">
        <v>203</v>
      </c>
      <c r="B10" s="9" t="n">
        <v>71.3</v>
      </c>
      <c r="C10" s="9" t="n">
        <v>69.8</v>
      </c>
      <c r="D10" s="13" t="n">
        <f aca="false">B10/C10-1</f>
        <v>0.0214899713467049</v>
      </c>
      <c r="F10" s="2" t="s">
        <v>197</v>
      </c>
    </row>
    <row r="11" customFormat="false" ht="15" hidden="false" customHeight="false" outlineLevel="0" collapsed="false">
      <c r="A11" s="5" t="s">
        <v>128</v>
      </c>
      <c r="B11" s="13" t="n">
        <f aca="false">B5/B4</f>
        <v>0.213559860273103</v>
      </c>
      <c r="C11" s="13" t="n">
        <f aca="false">C5/C4</f>
        <v>0.234647705235941</v>
      </c>
      <c r="D11" s="38" t="n">
        <f aca="false">B11-C11</f>
        <v>-0.0210878449628379</v>
      </c>
      <c r="E11" s="31" t="n">
        <v>0.231</v>
      </c>
      <c r="F11" s="2" t="s">
        <v>204</v>
      </c>
    </row>
    <row r="13" customFormat="false" ht="15" hidden="false" customHeight="false" outlineLevel="0" collapsed="false">
      <c r="A13" s="15" t="s">
        <v>205</v>
      </c>
      <c r="B13" s="16" t="s">
        <v>206</v>
      </c>
      <c r="C13" s="16" t="s">
        <v>207</v>
      </c>
      <c r="D13" s="16" t="s">
        <v>194</v>
      </c>
      <c r="E13" s="16" t="s">
        <v>195</v>
      </c>
      <c r="F13" s="16" t="s">
        <v>196</v>
      </c>
    </row>
    <row r="14" customFormat="false" ht="15" hidden="false" customHeight="false" outlineLevel="0" collapsed="false">
      <c r="A14" s="5" t="s">
        <v>138</v>
      </c>
      <c r="B14" s="9" t="n">
        <v>325</v>
      </c>
      <c r="C14" s="9" t="n">
        <v>311.5</v>
      </c>
      <c r="D14" s="13" t="n">
        <f aca="false">B14/C14-1</f>
        <v>0.043338683788122</v>
      </c>
      <c r="E14" s="31" t="n">
        <v>0.049</v>
      </c>
      <c r="F14" s="2" t="s">
        <v>208</v>
      </c>
    </row>
    <row r="15" customFormat="false" ht="15" hidden="false" customHeight="false" outlineLevel="0" collapsed="false">
      <c r="A15" s="5" t="s">
        <v>139</v>
      </c>
      <c r="B15" s="9" t="n">
        <v>71.1</v>
      </c>
      <c r="C15" s="9" t="n">
        <v>76.3</v>
      </c>
      <c r="D15" s="13" t="n">
        <f aca="false">B15/C15-1</f>
        <v>-0.0681520314547838</v>
      </c>
      <c r="E15" s="31" t="n">
        <v>-0.024</v>
      </c>
      <c r="F15" s="2" t="s">
        <v>208</v>
      </c>
    </row>
    <row r="16" customFormat="false" ht="15" hidden="false" customHeight="false" outlineLevel="0" collapsed="false">
      <c r="A16" s="5" t="s">
        <v>203</v>
      </c>
      <c r="B16" s="9" t="n">
        <v>37.7</v>
      </c>
      <c r="C16" s="9" t="n">
        <v>38.4</v>
      </c>
      <c r="D16" s="13" t="n">
        <f aca="false">B16/C16-1</f>
        <v>-0.0182291666666665</v>
      </c>
      <c r="F16" s="2" t="s">
        <v>208</v>
      </c>
    </row>
    <row r="17" customFormat="false" ht="15" hidden="false" customHeight="false" outlineLevel="0" collapsed="false">
      <c r="A17" s="5" t="s">
        <v>209</v>
      </c>
      <c r="B17" s="31" t="n">
        <v>-0.022</v>
      </c>
      <c r="C17" s="31" t="n">
        <v>0.168</v>
      </c>
      <c r="F17" s="2" t="s">
        <v>210</v>
      </c>
    </row>
    <row r="19" customFormat="false" ht="15" hidden="false" customHeight="false" outlineLevel="0" collapsed="false">
      <c r="A19" s="15" t="s">
        <v>211</v>
      </c>
      <c r="B19" s="16" t="s">
        <v>138</v>
      </c>
      <c r="C19" s="16" t="s">
        <v>139</v>
      </c>
      <c r="D19" s="16"/>
      <c r="E19" s="16"/>
      <c r="F19" s="16" t="s">
        <v>196</v>
      </c>
    </row>
    <row r="20" customFormat="false" ht="15" hidden="false" customHeight="false" outlineLevel="0" collapsed="false">
      <c r="A20" s="5" t="s">
        <v>193</v>
      </c>
      <c r="B20" s="9" t="n">
        <v>618.8</v>
      </c>
      <c r="C20" s="9" t="n">
        <v>145.2</v>
      </c>
      <c r="F20" s="2" t="s">
        <v>212</v>
      </c>
    </row>
    <row r="21" customFormat="false" ht="15" hidden="false" customHeight="false" outlineLevel="0" collapsed="false">
      <c r="A21" s="5" t="s">
        <v>213</v>
      </c>
      <c r="B21" s="9" t="n">
        <v>34.2</v>
      </c>
      <c r="C21" s="9" t="n">
        <v>4.5</v>
      </c>
    </row>
    <row r="22" customFormat="false" ht="15" hidden="false" customHeight="false" outlineLevel="0" collapsed="false">
      <c r="A22" s="5" t="s">
        <v>214</v>
      </c>
      <c r="B22" s="9" t="n">
        <v>-4.6</v>
      </c>
      <c r="C22" s="9" t="n">
        <v>0</v>
      </c>
    </row>
    <row r="23" customFormat="false" ht="15" hidden="false" customHeight="false" outlineLevel="0" collapsed="false">
      <c r="A23" s="5" t="s">
        <v>215</v>
      </c>
      <c r="B23" s="9" t="n">
        <v>-20.5</v>
      </c>
      <c r="C23" s="9" t="n">
        <v>-14.6</v>
      </c>
    </row>
    <row r="24" customFormat="false" ht="15" hidden="false" customHeight="false" outlineLevel="0" collapsed="false">
      <c r="A24" s="5" t="s">
        <v>216</v>
      </c>
      <c r="B24" s="9" t="n">
        <v>1.9</v>
      </c>
      <c r="C24" s="9" t="n">
        <v>-0.6</v>
      </c>
    </row>
    <row r="25" customFormat="false" ht="15" hidden="false" customHeight="false" outlineLevel="0" collapsed="false">
      <c r="A25" s="26" t="s">
        <v>192</v>
      </c>
      <c r="B25" s="39" t="n">
        <f aca="false">SUM(B20:B24)</f>
        <v>629.8</v>
      </c>
      <c r="C25" s="39" t="n">
        <f aca="false">SUM(C20:C24)</f>
        <v>134.5</v>
      </c>
    </row>
    <row r="26" customFormat="false" ht="15" hidden="false" customHeight="false" outlineLevel="0" collapsed="false">
      <c r="A26" s="5" t="s">
        <v>217</v>
      </c>
      <c r="B26" s="13" t="n">
        <f aca="false">B23/B20</f>
        <v>-0.0331286360698125</v>
      </c>
      <c r="C26" s="13" t="n">
        <f aca="false">C23/C20</f>
        <v>-0.100550964187328</v>
      </c>
      <c r="F26" s="2" t="s">
        <v>218</v>
      </c>
    </row>
    <row r="28" customFormat="false" ht="15" hidden="false" customHeight="false" outlineLevel="0" collapsed="false">
      <c r="A28" s="15" t="s">
        <v>219</v>
      </c>
      <c r="B28" s="16" t="s">
        <v>220</v>
      </c>
      <c r="C28" s="16" t="s">
        <v>221</v>
      </c>
      <c r="D28" s="16" t="s">
        <v>222</v>
      </c>
      <c r="E28" s="16" t="s">
        <v>223</v>
      </c>
      <c r="F28" s="16" t="s">
        <v>196</v>
      </c>
    </row>
    <row r="29" customFormat="false" ht="15" hidden="false" customHeight="false" outlineLevel="0" collapsed="false">
      <c r="A29" s="5" t="s">
        <v>224</v>
      </c>
      <c r="B29" s="9" t="n">
        <v>254.8</v>
      </c>
      <c r="C29" s="40" t="n">
        <f aca="false">B29/Inputs!$B$19</f>
        <v>0.404572880279454</v>
      </c>
      <c r="D29" s="31" t="n">
        <v>-0.012</v>
      </c>
      <c r="E29" s="31" t="n">
        <v>-0.002</v>
      </c>
      <c r="F29" s="2" t="s">
        <v>225</v>
      </c>
    </row>
    <row r="30" customFormat="false" ht="15" hidden="false" customHeight="false" outlineLevel="0" collapsed="false">
      <c r="A30" s="5" t="s">
        <v>226</v>
      </c>
      <c r="B30" s="9" t="n">
        <v>194.3</v>
      </c>
      <c r="C30" s="40" t="n">
        <f aca="false">B30/Inputs!$B$19</f>
        <v>0.308510638297872</v>
      </c>
      <c r="D30" s="31" t="n">
        <v>-0.002</v>
      </c>
      <c r="E30" s="31" t="n">
        <v>0.058</v>
      </c>
      <c r="F30" s="2" t="s">
        <v>225</v>
      </c>
    </row>
    <row r="31" customFormat="false" ht="15" hidden="false" customHeight="false" outlineLevel="0" collapsed="false">
      <c r="A31" s="5" t="s">
        <v>227</v>
      </c>
      <c r="B31" s="9" t="n">
        <v>99.2</v>
      </c>
      <c r="C31" s="40" t="n">
        <f aca="false">B31/Inputs!$B$19</f>
        <v>0.157510320736742</v>
      </c>
      <c r="D31" s="31" t="n">
        <v>0.111</v>
      </c>
      <c r="E31" s="31" t="n">
        <v>0.147</v>
      </c>
      <c r="F31" s="2" t="s">
        <v>225</v>
      </c>
    </row>
    <row r="32" customFormat="false" ht="15" hidden="false" customHeight="false" outlineLevel="0" collapsed="false">
      <c r="A32" s="5" t="s">
        <v>228</v>
      </c>
      <c r="B32" s="9" t="n">
        <v>81.4</v>
      </c>
      <c r="C32" s="40" t="n">
        <f aca="false">B32/Inputs!$B$19</f>
        <v>0.129247380120673</v>
      </c>
      <c r="D32" s="31" t="n">
        <v>0.06</v>
      </c>
      <c r="E32" s="31" t="n">
        <v>0.073</v>
      </c>
      <c r="F32" s="2" t="s">
        <v>225</v>
      </c>
    </row>
    <row r="33" customFormat="false" ht="15" hidden="false" customHeight="false" outlineLevel="0" collapsed="false">
      <c r="A33" s="5" t="s">
        <v>229</v>
      </c>
      <c r="B33" s="9" t="n">
        <v>591.7</v>
      </c>
      <c r="C33" s="40" t="n">
        <f aca="false">B33/Inputs!$B$19</f>
        <v>0.939504604636393</v>
      </c>
      <c r="D33" s="31" t="n">
        <v>0.018</v>
      </c>
      <c r="F33" s="2" t="s">
        <v>230</v>
      </c>
    </row>
    <row r="34" customFormat="false" ht="15" hidden="false" customHeight="false" outlineLevel="0" collapsed="false">
      <c r="A34" s="5" t="s">
        <v>231</v>
      </c>
      <c r="B34" s="9" t="n">
        <v>3.8</v>
      </c>
      <c r="C34" s="40" t="n">
        <f aca="false">B34/Inputs!$B$19</f>
        <v>0.00603366147983487</v>
      </c>
      <c r="D34" s="31" t="n">
        <v>0.573</v>
      </c>
      <c r="F34" s="2" t="s">
        <v>230</v>
      </c>
    </row>
    <row r="35" customFormat="false" ht="15" hidden="false" customHeight="false" outlineLevel="0" collapsed="false">
      <c r="A35" s="5" t="s">
        <v>232</v>
      </c>
      <c r="B35" s="9" t="n">
        <v>8.3</v>
      </c>
      <c r="C35" s="40" t="n">
        <f aca="false">B35/Inputs!$B$19</f>
        <v>0.0131787869164814</v>
      </c>
      <c r="D35" s="31" t="n">
        <v>0.878</v>
      </c>
      <c r="F35" s="2" t="s">
        <v>230</v>
      </c>
    </row>
    <row r="36" customFormat="false" ht="15" hidden="false" customHeight="false" outlineLevel="0" collapsed="false">
      <c r="A36" s="5" t="s">
        <v>233</v>
      </c>
      <c r="B36" s="9" t="n">
        <v>26</v>
      </c>
      <c r="C36" s="40" t="n">
        <f aca="false">B36/Inputs!$B$19</f>
        <v>0.0412829469672912</v>
      </c>
      <c r="D36" s="31" t="n">
        <v>-0.154</v>
      </c>
      <c r="F36" s="2" t="s">
        <v>230</v>
      </c>
    </row>
    <row r="37" customFormat="false" ht="15" hidden="false" customHeight="false" outlineLevel="0" collapsed="false">
      <c r="A37" s="5" t="s">
        <v>234</v>
      </c>
      <c r="C37" s="13" t="n">
        <f aca="false">C34+C35</f>
        <v>0.0192124483963163</v>
      </c>
    </row>
    <row r="39" customFormat="false" ht="15" hidden="false" customHeight="false" outlineLevel="0" collapsed="false">
      <c r="A39" s="15" t="s">
        <v>235</v>
      </c>
      <c r="B39" s="16" t="s">
        <v>220</v>
      </c>
      <c r="C39" s="16"/>
      <c r="D39" s="16"/>
      <c r="E39" s="16"/>
      <c r="F39" s="16" t="s">
        <v>196</v>
      </c>
    </row>
    <row r="40" customFormat="false" ht="15" hidden="false" customHeight="false" outlineLevel="0" collapsed="false">
      <c r="A40" s="5" t="s">
        <v>236</v>
      </c>
      <c r="B40" s="9" t="n">
        <v>206.1</v>
      </c>
      <c r="F40" s="2" t="s">
        <v>237</v>
      </c>
    </row>
    <row r="41" customFormat="false" ht="15" hidden="false" customHeight="false" outlineLevel="0" collapsed="false">
      <c r="A41" s="5" t="s">
        <v>139</v>
      </c>
      <c r="B41" s="9" t="n">
        <v>-134.5</v>
      </c>
    </row>
    <row r="42" customFormat="false" ht="15" hidden="false" customHeight="false" outlineLevel="0" collapsed="false">
      <c r="A42" s="5" t="s">
        <v>238</v>
      </c>
      <c r="B42" s="9" t="n">
        <v>21.9</v>
      </c>
    </row>
    <row r="43" customFormat="false" ht="15" hidden="false" customHeight="false" outlineLevel="0" collapsed="false">
      <c r="A43" s="5" t="s">
        <v>239</v>
      </c>
      <c r="B43" s="9" t="n">
        <v>41.3</v>
      </c>
    </row>
    <row r="44" customFormat="false" ht="15" hidden="false" customHeight="false" outlineLevel="0" collapsed="false">
      <c r="A44" s="5" t="s">
        <v>240</v>
      </c>
      <c r="B44" s="9" t="n">
        <v>34.5</v>
      </c>
    </row>
    <row r="45" customFormat="false" ht="15" hidden="false" customHeight="false" outlineLevel="0" collapsed="false">
      <c r="A45" s="5" t="s">
        <v>241</v>
      </c>
      <c r="B45" s="9" t="n">
        <v>7</v>
      </c>
    </row>
    <row r="46" customFormat="false" ht="15" hidden="false" customHeight="false" outlineLevel="0" collapsed="false">
      <c r="A46" s="5" t="s">
        <v>242</v>
      </c>
      <c r="B46" s="9" t="n">
        <v>107</v>
      </c>
    </row>
    <row r="47" customFormat="false" ht="15" hidden="false" customHeight="false" outlineLevel="0" collapsed="false">
      <c r="A47" s="26" t="s">
        <v>243</v>
      </c>
      <c r="B47" s="39" t="n">
        <f aca="false">SUM(B40:B46)</f>
        <v>283.3</v>
      </c>
    </row>
    <row r="48" customFormat="false" ht="15" hidden="false" customHeight="false" outlineLevel="0" collapsed="false">
      <c r="A48" s="5" t="s">
        <v>244</v>
      </c>
      <c r="B48" s="9" t="n">
        <v>-1.7</v>
      </c>
      <c r="F48" s="2" t="s">
        <v>245</v>
      </c>
    </row>
    <row r="49" customFormat="false" ht="15" hidden="false" customHeight="false" outlineLevel="0" collapsed="false">
      <c r="A49" s="5" t="s">
        <v>246</v>
      </c>
      <c r="B49" s="9" t="n">
        <v>-1.1</v>
      </c>
      <c r="F49" s="2" t="s">
        <v>247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13"/>
    <col collapsed="false" customWidth="true" hidden="false" outlineLevel="0" max="6" min="6" style="0" width="50"/>
  </cols>
  <sheetData>
    <row r="1" customFormat="false" ht="17.35" hidden="false" customHeight="false" outlineLevel="0" collapsed="false">
      <c r="A1" s="1" t="s">
        <v>248</v>
      </c>
    </row>
    <row r="3" customFormat="false" ht="15" hidden="false" customHeight="false" outlineLevel="0" collapsed="false">
      <c r="A3" s="15" t="s">
        <v>249</v>
      </c>
      <c r="B3" s="16" t="s">
        <v>250</v>
      </c>
      <c r="C3" s="16" t="s">
        <v>251</v>
      </c>
      <c r="D3" s="16" t="s">
        <v>128</v>
      </c>
      <c r="E3" s="16" t="s">
        <v>252</v>
      </c>
      <c r="F3" s="16" t="s">
        <v>253</v>
      </c>
    </row>
    <row r="4" customFormat="false" ht="15" hidden="false" customHeight="false" outlineLevel="0" collapsed="false">
      <c r="A4" s="5" t="s">
        <v>254</v>
      </c>
      <c r="B4" s="37" t="n">
        <v>9.94</v>
      </c>
      <c r="C4" s="37" t="n">
        <v>15.02</v>
      </c>
      <c r="D4" s="31" t="n">
        <v>0.2145</v>
      </c>
      <c r="E4" s="31" t="n">
        <v>0.1279</v>
      </c>
      <c r="F4" s="2" t="s">
        <v>255</v>
      </c>
    </row>
    <row r="5" customFormat="false" ht="15" hidden="false" customHeight="false" outlineLevel="0" collapsed="false">
      <c r="A5" s="5" t="s">
        <v>256</v>
      </c>
      <c r="B5" s="37" t="n">
        <v>7.48</v>
      </c>
      <c r="C5" s="37" t="n">
        <v>12.45</v>
      </c>
      <c r="D5" s="31" t="n">
        <v>0.1325</v>
      </c>
      <c r="E5" s="31" t="n">
        <v>0.075</v>
      </c>
      <c r="F5" s="2" t="s">
        <v>257</v>
      </c>
    </row>
    <row r="6" customFormat="false" ht="15" hidden="false" customHeight="false" outlineLevel="0" collapsed="false">
      <c r="A6" s="5" t="s">
        <v>258</v>
      </c>
      <c r="B6" s="41"/>
      <c r="C6" s="41"/>
      <c r="D6" s="41"/>
      <c r="E6" s="41"/>
      <c r="F6" s="2" t="s">
        <v>259</v>
      </c>
    </row>
    <row r="7" customFormat="false" ht="15" hidden="false" customHeight="false" outlineLevel="0" collapsed="false">
      <c r="A7" s="5" t="s">
        <v>260</v>
      </c>
      <c r="B7" s="41"/>
      <c r="C7" s="41"/>
      <c r="D7" s="41"/>
      <c r="E7" s="41"/>
      <c r="F7" s="2" t="s">
        <v>261</v>
      </c>
    </row>
    <row r="9" customFormat="false" ht="15" hidden="false" customHeight="false" outlineLevel="0" collapsed="false">
      <c r="A9" s="5" t="s">
        <v>262</v>
      </c>
      <c r="B9" s="13" t="n">
        <f aca="false">B4/B5-1</f>
        <v>0.328877005347593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2026-10-01T17:58:35Z</dcterms:created>
  <dc:creator>openpyxl</dc:creator>
  <dc:description/>
  <dc:language>en-US</dc:language>
  <cp:lastModifiedBy/>
  <dcterms:modified xsi:type="dcterms:W3CDTF">2026-10-01T17:58:35Z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