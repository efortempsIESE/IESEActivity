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Corrections" sheetId="2" state="visible" r:id="rId4"/>
    <sheet name="Journal" sheetId="3" state="visible" r:id="rId5"/>
    <sheet name="T-Accounts" sheetId="4" state="visible" r:id="rId6"/>
    <sheet name="Balance Sheet" sheetId="5" state="visible" r:id="rId7"/>
    <sheet name="Income Statement" sheetId="6" state="visible" r:id="rId8"/>
    <sheet name="Cash Flow" sheetId="7" state="visible" r:id="rId9"/>
    <sheet name="CF Worksheet" sheetId="8" state="visible" r:id="rId10"/>
    <sheet name="Lists" sheetId="9" state="hidden"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<sst xmlns="http://schemas.openxmlformats.org/spreadsheetml/2006/main" count="870" uniqueCount="507">
  <si>
    <t xml:space="preserve">FINANCIAL ACCOUNTING HOMEWORK TEMPLATE</t>
  </si>
  <si>
    <t xml:space="preserve">Company name</t>
  </si>
  <si>
    <t xml:space="preserve">Maria Soldevila (company)</t>
  </si>
  <si>
    <t xml:space="preserve">← fill in once, every sheet picks it up</t>
  </si>
  <si>
    <t xml:space="preserve">Period (e.g. Year 1)</t>
  </si>
  <si>
    <t xml:space="preserve">2011</t>
  </si>
  <si>
    <t xml:space="preserve">Currency / units</t>
  </si>
  <si>
    <t xml:space="preserve">€</t>
  </si>
  <si>
    <t xml:space="preserve">WORKFLOW (do the sheets in this order)</t>
  </si>
  <si>
    <t xml:space="preserve">1. Journal: write every transaction as a journal entry (Dr = Cr). Give each entry a number (1, 2, 3a, 3b, …, CE).</t>
  </si>
  <si>
    <t xml:space="preserve">2. T-Accounts: post each entry to its T-accounts, writing the entry # in the grey # columns. Beginning balances go on the BB row.</t>
  </si>
  <si>
    <t xml:space="preserve">3. Balance Sheet: fills itself from the T-accounts (beginning and ending balances). Check that Assets = L + OE.</t>
  </si>
  <si>
    <t xml:space="preserve">4. Income Statement: type the revenues/expenses from the P&amp;L T-account. Expenses and losses go in as NEGATIVE numbers.</t>
  </si>
  <si>
    <t xml:space="preserve">5. Cash Flow: type each cash movement from the Cash T-account in the direct method. The indirect method fills itself.</t>
  </si>
  <si>
    <t xml:space="preserve">6. CF Worksheet (optional): the course's ΔCash = −ΔA* + ΔL + ΔOE table. Use it to check the indirect method line by line.</t>
  </si>
  <si>
    <t xml:space="preserve">7. Every check cell must say OK in green. A red ERROR tells you how far off you are.</t>
  </si>
  <si>
    <t xml:space="preserve">COLOUR LEGEND</t>
  </si>
  <si>
    <t xml:space="preserve">1,000</t>
  </si>
  <si>
    <t xml:space="preserve">Blue text = number you type in (input)</t>
  </si>
  <si>
    <t xml:space="preserve">Black text = formula (don't type over it)</t>
  </si>
  <si>
    <t xml:space="preserve">Assets</t>
  </si>
  <si>
    <t xml:space="preserve">Asset section header (your red)</t>
  </si>
  <si>
    <t xml:space="preserve">Account</t>
  </si>
  <si>
    <t xml:space="preserve">Asset T-account title</t>
  </si>
  <si>
    <t xml:space="preserve">L &amp; OE</t>
  </si>
  <si>
    <t xml:space="preserve">Liabilities &amp; owners' equity section header (your blue)</t>
  </si>
  <si>
    <t xml:space="preserve">Liability T-account title</t>
  </si>
  <si>
    <t xml:space="preserve">Owners' equity T-account title</t>
  </si>
  <si>
    <t xml:space="preserve">P&amp;L</t>
  </si>
  <si>
    <t xml:space="preserve">Profit &amp; loss for the period (temporary OE account)</t>
  </si>
  <si>
    <t xml:space="preserve">I/S</t>
  </si>
  <si>
    <t xml:space="preserve">Income statement (green family)</t>
  </si>
  <si>
    <t xml:space="preserve">C/F</t>
  </si>
  <si>
    <t xml:space="preserve">Cash flow statement (purple, with orange for CFI and cyan for CFF)</t>
  </si>
  <si>
    <t xml:space="preserve">OK</t>
  </si>
  <si>
    <t xml:space="preserve">Check passed</t>
  </si>
  <si>
    <t xml:space="preserve">ERROR</t>
  </si>
  <si>
    <t xml:space="preserve">Check failed. The number is the difference.</t>
  </si>
  <si>
    <t xml:space="preserve">DEBIT / CREDIT RULES (CN-230-E, T-accounts section)</t>
  </si>
  <si>
    <t xml:space="preserve">Account type</t>
  </si>
  <si>
    <t xml:space="preserve">Increase</t>
  </si>
  <si>
    <t xml:space="preserve">Decrease</t>
  </si>
  <si>
    <t xml:space="preserve">Normal balance</t>
  </si>
  <si>
    <t xml:space="preserve">Examples</t>
  </si>
  <si>
    <t xml:space="preserve">Debit (left)</t>
  </si>
  <si>
    <t xml:space="preserve">Credit (right)</t>
  </si>
  <si>
    <t xml:space="preserve">Debit</t>
  </si>
  <si>
    <t xml:space="preserve">Cash, A/R, inventory, PPE</t>
  </si>
  <si>
    <t xml:space="preserve">Contra-assets</t>
  </si>
  <si>
    <t xml:space="preserve">Credit</t>
  </si>
  <si>
    <t xml:space="preserve">Accumulated depreciation / amortization</t>
  </si>
  <si>
    <t xml:space="preserve">Liabilities</t>
  </si>
  <si>
    <t xml:space="preserve">A/P, taxes payable, loans</t>
  </si>
  <si>
    <t xml:space="preserve">Owners' equity</t>
  </si>
  <si>
    <t xml:space="preserve">Share capital, retained profits</t>
  </si>
  <si>
    <t xml:space="preserve">P&amp;L: revenues &amp; gains</t>
  </si>
  <si>
    <t xml:space="preserve">Sales, financial income</t>
  </si>
  <si>
    <t xml:space="preserve">P&amp;L: expenses &amp; losses</t>
  </si>
  <si>
    <t xml:space="preserve">COGS, salaries, depreciation, tax</t>
  </si>
  <si>
    <t xml:space="preserve">Every entry: total debits = total credits.  A = L + OE always holds.  Debit/credit mean LEFT/RIGHT, not +/−.</t>
  </si>
  <si>
    <t xml:space="preserve">Closing entry (CE): Dr Profit for the period / Cr Retained profits (net profit). After it the P&amp;L account is zero.</t>
  </si>
  <si>
    <t xml:space="preserve">Dividends are NOT an expense: Dr Retained profits / Cr Cash (or Dividends payable).</t>
  </si>
  <si>
    <t xml:space="preserve">EXAMPLE JOURNAL ENTRY (from the course note: a €10,000 loan received in cash)</t>
  </si>
  <si>
    <t xml:space="preserve">#  /  Account</t>
  </si>
  <si>
    <t xml:space="preserve">Dr</t>
  </si>
  <si>
    <t xml:space="preserve">Cr</t>
  </si>
  <si>
    <t xml:space="preserve">Effect</t>
  </si>
  <si>
    <t xml:space="preserve">Cash flow class</t>
  </si>
  <si>
    <t xml:space="preserve">1  Cash</t>
  </si>
  <si>
    <t xml:space="preserve">A+</t>
  </si>
  <si>
    <t xml:space="preserve">F (new loan)</t>
  </si>
  <si>
    <t xml:space="preserve">1  Long-term bank loan</t>
  </si>
  <si>
    <t xml:space="preserve">L+</t>
  </si>
  <si>
    <t xml:space="preserve">CASH FLOW CLASSIFICATION (CN-233-E)</t>
  </si>
  <si>
    <t xml:space="preserve">Operating (CFO)</t>
  </si>
  <si>
    <t xml:space="preserve">Collections from customers, payments to suppliers / employees / rent / utilities, INTEREST paid &amp; received, TAXES paid, dividends received.</t>
  </si>
  <si>
    <t xml:space="preserve">Investing (CFI)</t>
  </si>
  <si>
    <t xml:space="preserve">Purchase / sale of land, buildings, PPE, intangibles (software), shares of other firms, marketable securities that are not cash equivalents.</t>
  </si>
  <si>
    <t xml:space="preserve">Financing (CFF)</t>
  </si>
  <si>
    <t xml:space="preserve">Share issues, NEW loans received, loan / mortgage PRINCIPAL repaid, dividends paid.</t>
  </si>
  <si>
    <t xml:space="preserve">Not cash at all</t>
  </si>
  <si>
    <t xml:space="preserve">Depreciation, amortization, purchases on credit, gains/losses on disposals. They go in the indirect method as adjustments only.</t>
  </si>
  <si>
    <t xml:space="preserve">Cash equivalents</t>
  </si>
  <si>
    <t xml:space="preserve">Investments maturing in under 3 months count as CASH. Those maturing in 3 to 12 months are marketable securities (investing).</t>
  </si>
  <si>
    <t xml:space="preserve">KEY FORMULAS</t>
  </si>
  <si>
    <t xml:space="preserve">Accounting identity</t>
  </si>
  <si>
    <t xml:space="preserve">A = L + OE     (net assets: A − L = OE)</t>
  </si>
  <si>
    <t xml:space="preserve">Change in cash</t>
  </si>
  <si>
    <t xml:space="preserve">ΔCash = −ΔAssets other than cash + ΔL + ΔOE   (Δ = ending − beginning)</t>
  </si>
  <si>
    <t xml:space="preserve">Working capital</t>
  </si>
  <si>
    <t xml:space="preserve">Current assets − current liabilities</t>
  </si>
  <si>
    <t xml:space="preserve">CFO (indirect)</t>
  </si>
  <si>
    <t xml:space="preserve">Net profit + depreciation &amp; amortization + non-operating losses − non-operating gains − ΔOperating assets + ΔOperating liabilities</t>
  </si>
  <si>
    <t xml:space="preserve">Free cash flow</t>
  </si>
  <si>
    <t xml:space="preserve">CFO − capex (in the course example: CFO + CFI = 93 − 69 = 24)</t>
  </si>
  <si>
    <t xml:space="preserve">Gain / loss on sale</t>
  </si>
  <si>
    <t xml:space="preserve">Selling price − book value (cost − accumulated depreciation) of the asset sold</t>
  </si>
  <si>
    <t xml:space="preserve">HOW TO MERGE CELLS / ADD ROWS</t>
  </si>
  <si>
    <t xml:space="preserve">Excel</t>
  </si>
  <si>
    <t xml:space="preserve">Select the cells → Home tab → 'Merge &amp; Center' (the drop-down arrow also offers 'Merge Across' and 'Unmerge Cells').</t>
  </si>
  <si>
    <t xml:space="preserve">LibreOffice Calc</t>
  </si>
  <si>
    <t xml:space="preserve">Select the cells → Format menu → Merge and Unmerge Cells → Merge and Center Cells (or the Merge button on the toolbar). If it asks, choose to keep only the first cell's content.</t>
  </si>
  <si>
    <t xml:space="preserve">Tip</t>
  </si>
  <si>
    <t xml:space="preserve">Merge only titles and headers, never cells that hold numbers. Formulas and sorting break on merged number cells.</t>
  </si>
  <si>
    <t xml:space="preserve">Need more lines in a T?</t>
  </si>
  <si>
    <t xml:space="preserve">Right-click a row number INSIDE the T (between BB and Total) → Insert Rows. The Total/EB SUMs stretch automatically. Inserting a row affects the whole sheet row, so both T-accounts on that row get it.</t>
  </si>
  <si>
    <t xml:space="preserve">MARIA SOLDEVILA (B) – CORRECTIONS REPORT</t>
  </si>
  <si>
    <t xml:space="preserve">1. About the file you sent (Maria_Soldevila_B.ods)</t>
  </si>
  <si>
    <t xml:space="preserve">It contained no 2011 work. It is the (A) solution file unchanged (period 2010, entries 09-1 to CE of 2010). Everything for (B) is therefore built from scratch in this workbook, starting from the professor's Exhibit 1.</t>
  </si>
  <si>
    <t xml:space="preserve">2. Opening balances: Exhibit 1 differs from the earlier (A) solution</t>
  </si>
  <si>
    <t xml:space="preserve">Item</t>
  </si>
  <si>
    <t xml:space="preserve">(A) solution had</t>
  </si>
  <si>
    <t xml:space="preserve">Exhibit 1 (correct)</t>
  </si>
  <si>
    <t xml:space="preserve">F&amp;E accumulated depreciation</t>
  </si>
  <si>
    <t xml:space="preserve">0 (assumed no depreciation)</t>
  </si>
  <si>
    <t xml:space="preserve">4,000 (20,000 / 5 years)</t>
  </si>
  <si>
    <t xml:space="preserve">Website</t>
  </si>
  <si>
    <t xml:space="preserve">12,000 (assumed no amortization)</t>
  </si>
  <si>
    <t xml:space="preserve">6,000 net (12,000 / 2 years)</t>
  </si>
  <si>
    <t xml:space="preserve">Retained profits (2010 net profit)</t>
  </si>
  <si>
    <t xml:space="preserve">120,000</t>
  </si>
  <si>
    <t xml:space="preserve">110,000</t>
  </si>
  <si>
    <t xml:space="preserve">Total assets at Dec 31, 2010</t>
  </si>
  <si>
    <t xml:space="preserve">670,000</t>
  </si>
  <si>
    <t xml:space="preserve">660,000</t>
  </si>
  <si>
    <t xml:space="preserve">The (A) solution file has been updated to match Exhibit 1.</t>
  </si>
  <si>
    <t xml:space="preserve">3. Manufacturing: where each cost goes (the part you were unsure about)</t>
  </si>
  <si>
    <t xml:space="preserve">New T-accounts are needed. Three unused template Ts were renamed: RAW MATERIALS (was 'Prepaid rent'), WORK IN PROGRESS (was 'Other current asset'), MACHINERY + ACCUM. DEPRECIATION – MACHINERY (were 'Software / Accumulated amortization'). Also PAYABLE FOR MACHINERY (was 'Other liability'). 'Inventories' became FINISHED GOODS, and the website moved to the 'Financial investments' T (shown net, as in Exhibit 1).</t>
  </si>
  <si>
    <t xml:space="preserve">Event</t>
  </si>
  <si>
    <t xml:space="preserve">Entry</t>
  </si>
  <si>
    <t xml:space="preserve">Why</t>
  </si>
  <si>
    <t xml:space="preserve">Buy raw materials (2)</t>
  </si>
  <si>
    <t xml:space="preserve">Dr Raw materials / Cr Accounts payable</t>
  </si>
  <si>
    <t xml:space="preserve">It is an asset until it is used.</t>
  </si>
  <si>
    <t xml:space="preserve">Use raw materials (4)</t>
  </si>
  <si>
    <t xml:space="preserve">Dr WIP / Cr Raw materials</t>
  </si>
  <si>
    <t xml:space="preserve">Moves into production. It is NOT an expense.</t>
  </si>
  <si>
    <t xml:space="preserve">Production wages &amp; other manufacturing costs (5)</t>
  </si>
  <si>
    <t xml:space="preserve">Dr WIP / Cr Cash (162,000)</t>
  </si>
  <si>
    <t xml:space="preserve">Product cost. It becomes an expense only when the mixers are SOLD.</t>
  </si>
  <si>
    <t xml:space="preserve">Machinery depreciation (7)</t>
  </si>
  <si>
    <t xml:space="preserve">Dr WIP / Cr Accum. depreciation – Machinery (40,000)</t>
  </si>
  <si>
    <t xml:space="preserve">The uncle's instruction: production depreciation is included in the product cost.</t>
  </si>
  <si>
    <t xml:space="preserve">Mixers finished (8)</t>
  </si>
  <si>
    <t xml:space="preserve">Dr Finished goods / Cr WIP (444,000)</t>
  </si>
  <si>
    <t xml:space="preserve">600 units → 740 per unit. No WIP left at year end.</t>
  </si>
  <si>
    <t xml:space="preserve">Mixers sold (9)</t>
  </si>
  <si>
    <t xml:space="preserve">Dr AR / Cr P&amp;L Sales (944,000) and Dr P&amp;L COGS / Cr Finished goods (439,000)</t>
  </si>
  <si>
    <t xml:space="preserve">FIFO: the 40 old units at 800 first, then 550 at 740. Ending stock is 50 × 740 = 37,000.</t>
  </si>
  <si>
    <t xml:space="preserve">Selling &amp; admin. costs (6), building/website depreciation (16)</t>
  </si>
  <si>
    <t xml:space="preserve">Dr P&amp;L directly</t>
  </si>
  <si>
    <t xml:space="preserve">These are period expenses, not product costs.</t>
  </si>
  <si>
    <t xml:space="preserve">4. Other items that are easy to miss</t>
  </si>
  <si>
    <t xml:space="preserve">• Machinery (1): only 80,000 is paid in January. The other 160,000 is a liability (Payable for machinery) until it is paid in September. Both payments are INVESTING cash flows.</t>
  </si>
  <si>
    <t xml:space="preserve">• Dividends (11): Dr Retained profits / Cr Cash. They are NOT a P&amp;L expense. Cash flow: FINANCING.</t>
  </si>
  <si>
    <t xml:space="preserve">• Sale of old furniture (12): remove BOTH the cost (20,000) and its accumulated depreciation (4,000). Book value 16,000 − price 9,000 = loss 7,000. The 9,000 cash is INVESTING.</t>
  </si>
  <si>
    <t xml:space="preserve">• New furniture (13): an asset (Dr F&amp;E 25,000). Bought at the end of December, so no depreciation in 2011.</t>
  </si>
  <si>
    <t xml:space="preserve">• Bad debts (14): Dr P&amp;L bad debt expense 10,000 / Cr Accounts receivable. It is not a cash flow. AR is shown net of expected defaults.</t>
  </si>
  <si>
    <t xml:space="preserve">• Marketable securities (15): market 21,000 &gt; cost 20,000. By prudence (lower of cost or market) the 1,000 unrealized gain is NOT recorded. Keep them at 20,000.</t>
  </si>
  <si>
    <t xml:space="preserve">• Depreciation (16): building 5,000 and website 6,000 go straight to the P&amp;L. The website is then fully amortized.</t>
  </si>
  <si>
    <t xml:space="preserve">• Taxes: ignored, as the uncle asked.</t>
  </si>
  <si>
    <t xml:space="preserve">• Indirect cash flow: add back ALL depreciation (51,000 incl. the 40,000 inside product cost). The inventory changes then take care of the part still sitting in stock.</t>
  </si>
  <si>
    <t xml:space="preserve">5. Results 2011</t>
  </si>
  <si>
    <t xml:space="preserve">Income statement: sales 944,000 − COGS 439,000 = gross profit 505,000; − S&amp;A 150,000 − bad debts 10,000 − D&amp;A 11,000 − loss on sale 7,000 = NET PROFIT 327,000.</t>
  </si>
  <si>
    <t xml:space="preserve">Balance sheet Dec 31, 2011: total 977,000 (cash 103,000, securities 20,000, AR 174,000, raw materials 28,000, finished goods 37,000, land 300,000, building net 90,000, F&amp;E 25,000, machinery net 200,000 | AP 70,000, share capital 500,000, retained profits 407,000).</t>
  </si>
  <si>
    <t xml:space="preserve">Cash flow: CFO +288,000, CFI −256,000, CFF −30,000 → change +2,000 (101,000 → 103,000).</t>
  </si>
  <si>
    <t xml:space="preserve">6. Assumptions (the case does not say)</t>
  </si>
  <si>
    <t xml:space="preserve">• FIFO for finished goods. With weighted average (476,000 / 640 = 743.75) COGS would be 438,812.50 and ending stock 37,187.50.</t>
  </si>
  <si>
    <t xml:space="preserve">• No 2011 depreciation on the old furniture (item 16 lists only the building and the website). If you depreciate it 4,000 before the sale, the loss becomes 3,000. Net profit is the same.</t>
  </si>
  <si>
    <t xml:space="preserve">• The deferred 160,000 for the machinery was paid at the end of September as agreed.</t>
  </si>
  <si>
    <t xml:space="preserve">JOURNAL ENTRIES</t>
  </si>
  <si>
    <t xml:space="preserve">Company:</t>
  </si>
  <si>
    <t xml:space="preserve">Period:</t>
  </si>
  <si>
    <t xml:space="preserve">TOTAL</t>
  </si>
  <si>
    <t xml:space="preserve">#</t>
  </si>
  <si>
    <t xml:space="preserve">Description of transaction</t>
  </si>
  <si>
    <t xml:space="preserve">Account (pick from list or type)</t>
  </si>
  <si>
    <t xml:space="preserve">Cash flow</t>
  </si>
  <si>
    <t xml:space="preserve">Entry check</t>
  </si>
  <si>
    <t xml:space="preserve">Notes &amp; reminders</t>
  </si>
  <si>
    <t xml:space="preserve">1a</t>
  </si>
  <si>
    <t xml:space="preserve">Machinery installed: 240,000; 1/3 paid in cash, 2/3 deferred to end of September</t>
  </si>
  <si>
    <t xml:space="preserve">Machinery</t>
  </si>
  <si>
    <t xml:space="preserve">How to use</t>
  </si>
  <si>
    <t xml:space="preserve">Cash &amp; cash equivalents</t>
  </si>
  <si>
    <t xml:space="preserve">A−</t>
  </si>
  <si>
    <t xml:space="preserve">I</t>
  </si>
  <si>
    <t xml:space="preserve">One line per account touched. All lines of the same transaction share the same # (e.g. 3a, 3a).</t>
  </si>
  <si>
    <t xml:space="preserve">Payable for machinery</t>
  </si>
  <si>
    <t xml:space="preserve">Write the debit lines first, then the credit lines (Dr Cash / Cr Loan).</t>
  </si>
  <si>
    <t xml:space="preserve">1b</t>
  </si>
  <si>
    <t xml:space="preserve">End of September: deferred 2/3 of the machinery paid</t>
  </si>
  <si>
    <t xml:space="preserve">L−</t>
  </si>
  <si>
    <t xml:space="preserve">For P&amp;L lines, write e.g. 'P&amp;L – Sales revenue' or 'P&amp;L – Salaries expense' so the Income Statement is easy to build.</t>
  </si>
  <si>
    <t xml:space="preserve">Effect column: A+/A−/L+/L−/OE+/OE−, as in the course notes. It forces you to think about which side each line goes on.</t>
  </si>
  <si>
    <t xml:space="preserve">Raw materials bought on credit</t>
  </si>
  <si>
    <t xml:space="preserve">Raw materials inventory</t>
  </si>
  <si>
    <t xml:space="preserve">Cash flow column: only for lines that touch CASH. O = operating, I = investing, F = financing.</t>
  </si>
  <si>
    <t xml:space="preserve">Accounts payable</t>
  </si>
  <si>
    <t xml:space="preserve">Entry check turns green when that # balances (debits = credits).</t>
  </si>
  <si>
    <t xml:space="preserve">Payments to raw-material suppliers</t>
  </si>
  <si>
    <t xml:space="preserve">Rule of thumb</t>
  </si>
  <si>
    <t xml:space="preserve">O</t>
  </si>
  <si>
    <t xml:space="preserve">Debits: asset ↑, expense ↑, liability ↓, OE ↓</t>
  </si>
  <si>
    <t xml:space="preserve">Raw materials moved into production (NOT an expense yet)</t>
  </si>
  <si>
    <t xml:space="preserve">Work in progress (WIP)</t>
  </si>
  <si>
    <t xml:space="preserve">Credits: asset ↓, revenue ↑, liability ↑, OE ↑</t>
  </si>
  <si>
    <t xml:space="preserve">Hint</t>
  </si>
  <si>
    <t xml:space="preserve">Manufacturing wages 80,000 + other manufacturing costs 82,000 → product cost</t>
  </si>
  <si>
    <t xml:space="preserve">Record everything in the Journal first, then post to the T-Accounts. Mistakes are much easier to spot here than in the Ts.</t>
  </si>
  <si>
    <t xml:space="preserve">Selling &amp; admin. expenses (incl. 100,000 personnel) → period expense</t>
  </si>
  <si>
    <t xml:space="preserve">P&amp;L – Selling &amp; admin. expenses</t>
  </si>
  <si>
    <t xml:space="preserve">Exp (OE−)</t>
  </si>
  <si>
    <t xml:space="preserve">Machinery depreciation 240,000 / 6 years → product cost (item 7)</t>
  </si>
  <si>
    <t xml:space="preserve">Non-cash</t>
  </si>
  <si>
    <t xml:space="preserve">Accum. depreciation – Machinery</t>
  </si>
  <si>
    <t xml:space="preserve">Contra-A+</t>
  </si>
  <si>
    <t xml:space="preserve">600 mixers finished (242,000 + 162,000 + 40,000 = 444,000 → 740/unit); no WIP left</t>
  </si>
  <si>
    <t xml:space="preserve">Finished goods inventory</t>
  </si>
  <si>
    <t xml:space="preserve">9a</t>
  </si>
  <si>
    <t xml:space="preserve">590 mixers sold on credit</t>
  </si>
  <si>
    <t xml:space="preserve">Accounts receivable</t>
  </si>
  <si>
    <t xml:space="preserve">P&amp;L – Sales revenue</t>
  </si>
  <si>
    <t xml:space="preserve">Rev (OE+)</t>
  </si>
  <si>
    <t xml:space="preserve">9b</t>
  </si>
  <si>
    <t xml:space="preserve">COGS (FIFO): 40 × 800 + 550 × 740 = 439,000</t>
  </si>
  <si>
    <t xml:space="preserve">P&amp;L – COGS expense</t>
  </si>
  <si>
    <t xml:space="preserve">Collections from customers</t>
  </si>
  <si>
    <t xml:space="preserve">Dividends approved and paid (NOT an expense)</t>
  </si>
  <si>
    <t xml:space="preserve">Retained profits</t>
  </si>
  <si>
    <t xml:space="preserve">OE−</t>
  </si>
  <si>
    <t xml:space="preserve">F</t>
  </si>
  <si>
    <t xml:space="preserve">Old furniture sold for 9,000; book value 20,000 − 4,000 = 16,000 → loss 7,000</t>
  </si>
  <si>
    <t xml:space="preserve">Accum. depreciation – Furn. &amp; equip.</t>
  </si>
  <si>
    <t xml:space="preserve">Contra-A−</t>
  </si>
  <si>
    <t xml:space="preserve">P&amp;L – Loss on sale of furniture &amp; equipment</t>
  </si>
  <si>
    <t xml:space="preserve">Furniture &amp; equipment</t>
  </si>
  <si>
    <t xml:space="preserve">New furniture &amp; equipment bought for cash</t>
  </si>
  <si>
    <t xml:space="preserve">Uncollectible receivables written down (AR shown net)</t>
  </si>
  <si>
    <t xml:space="preserve">P&amp;L – Bad debt expense</t>
  </si>
  <si>
    <t xml:space="preserve">Securities: market 21,000 &gt; cost 20,000 → NO entry (prudence / lower of cost or market)</t>
  </si>
  <si>
    <t xml:space="preserve">(no entry)</t>
  </si>
  <si>
    <t xml:space="preserve">16a</t>
  </si>
  <si>
    <t xml:space="preserve">Building depreciation (selling/admin use → period expense)</t>
  </si>
  <si>
    <t xml:space="preserve">P&amp;L – Depreciation expense</t>
  </si>
  <si>
    <t xml:space="preserve">Accum. depreciation – Buildings</t>
  </si>
  <si>
    <t xml:space="preserve">16b</t>
  </si>
  <si>
    <t xml:space="preserve">Website amortization (reduces the net website balance to 0)</t>
  </si>
  <si>
    <t xml:space="preserve">P&amp;L – Amortization expense</t>
  </si>
  <si>
    <t xml:space="preserve">Website (net of amortization)</t>
  </si>
  <si>
    <t xml:space="preserve">CE</t>
  </si>
  <si>
    <t xml:space="preserve">Closing entry: net profit 2011 to retained profits</t>
  </si>
  <si>
    <t xml:space="preserve">Profit &amp; loss for the period (P&amp;L)</t>
  </si>
  <si>
    <t xml:space="preserve">OE+</t>
  </si>
  <si>
    <t xml:space="preserve">T-ACCOUNTS (general ledger)</t>
  </si>
  <si>
    <t xml:space="preserve">ASSETS  (uses of capital)</t>
  </si>
  <si>
    <t xml:space="preserve">OWNERS' EQUITY &amp; LIABILITIES  (sources of capital)</t>
  </si>
  <si>
    <t xml:space="preserve">How to post</t>
  </si>
  <si>
    <t xml:space="preserve">Marketable securities</t>
  </si>
  <si>
    <t xml:space="preserve">Salaries payable</t>
  </si>
  <si>
    <t xml:space="preserve">Write the amount on the correct side and the journal entry # in the grey column next to it, e.g. 1, 2, 3a, CE.</t>
  </si>
  <si>
    <t xml:space="preserve">Dr (+)</t>
  </si>
  <si>
    <t xml:space="preserve">Cr (−)</t>
  </si>
  <si>
    <t xml:space="preserve">Dr (−)</t>
  </si>
  <si>
    <t xml:space="preserve">Cr (+)</t>
  </si>
  <si>
    <t xml:space="preserve">BB = beginning balance (from last period's balance sheet). Leave empty for a new company.</t>
  </si>
  <si>
    <t xml:space="preserve">BB</t>
  </si>
  <si>
    <t xml:space="preserve">EB = ending balance. It is calculated for you and always sits on the account's normal side.</t>
  </si>
  <si>
    <t xml:space="preserve">Asset side (Uses of capital)</t>
  </si>
  <si>
    <t xml:space="preserve">Debit (+) increases, Credit (−) decreases. Normal balance is on the debit side.</t>
  </si>
  <si>
    <t xml:space="preserve">Liabilities &amp; OE side (Sources of capital)</t>
  </si>
  <si>
    <t xml:space="preserve">Debit (−) decreases, Credit (+) increases. Normal balance is on the credit side.</t>
  </si>
  <si>
    <t xml:space="preserve">Contra-assets (accumulated depreciation / amortization)</t>
  </si>
  <si>
    <t xml:space="preserve">They sit on the asset side but work like liabilities: depreciation goes on the CREDIT side. Net book value = cost − accumulated depreciation.</t>
  </si>
  <si>
    <t xml:space="preserve">Land is NEVER depreciated.</t>
  </si>
  <si>
    <t xml:space="preserve">P&amp;L (profit for the period)</t>
  </si>
  <si>
    <t xml:space="preserve">This is a temporary owners' equity account. Revenues and gains go on the credit side. Expenses and losses (COGS, salaries, rent used up, depreciation, interest, tax) go on the debit side.</t>
  </si>
  <si>
    <t xml:space="preserve">At the end: closing entry CE = Dr P&amp;L / Cr Retained profits for the net profit. Use # 'CE' so the Income Statement check can ignore it.</t>
  </si>
  <si>
    <t xml:space="preserve">Frequent traps</t>
  </si>
  <si>
    <t xml:space="preserve">A sale is TWO entries: (a) Dr Cash/A/R, Cr P&amp;L (revenue) and (b) Dr P&amp;L (COGS), Cr Inventory.</t>
  </si>
  <si>
    <t xml:space="preserve">Prepaid rent: paying for it is an asset (Dr Prepaid, Cr Cash). Only the part used up in the period is an expense (Dr P&amp;L, Cr Prepaid).</t>
  </si>
  <si>
    <t xml:space="preserve">Cash received before delivery is a liability: Deposits from customers.</t>
  </si>
  <si>
    <t xml:space="preserve">Buying on credit: Cr Accounts payable, not Cash. Paying later: Dr A/P, Cr Cash, with NO expense.</t>
  </si>
  <si>
    <t xml:space="preserve">Tot</t>
  </si>
  <si>
    <t xml:space="preserve">Accrued interest, salaries and tax not yet paid: Dr P&amp;L, Cr Interest/Salaries/Taxes payable.</t>
  </si>
  <si>
    <t xml:space="preserve">EB</t>
  </si>
  <si>
    <t xml:space="preserve">A loan repayment only reduces the loan (Dr Loan, Cr Cash). The interest part is an expense.</t>
  </si>
  <si>
    <t xml:space="preserve">A purchase financed by the seller or a mortgage: Dr Land/Building, Cr Mortgage/Obligations (and Cr Cash for any down payment).</t>
  </si>
  <si>
    <t xml:space="preserve">Interest payable</t>
  </si>
  <si>
    <t xml:space="preserve">Taxes payable</t>
  </si>
  <si>
    <t xml:space="preserve">Dividends: Dr Retained profits, Cr Cash. They are never a P&amp;L expense.</t>
  </si>
  <si>
    <t xml:space="preserve">Share issue above par: Cr Share capital (par × shares) + Cr Share premium (the rest).</t>
  </si>
  <si>
    <t xml:space="preserve">Checks</t>
  </si>
  <si>
    <t xml:space="preserve">Below the T-accounts: total debits must equal total credits. On the Balance Sheet sheet: A = L + OE.</t>
  </si>
  <si>
    <t xml:space="preserve">Deposits from customers (unearned rev.)</t>
  </si>
  <si>
    <t xml:space="preserve">Dividends payable</t>
  </si>
  <si>
    <t xml:space="preserve">Land</t>
  </si>
  <si>
    <t xml:space="preserve">Short-term loans / current portion LTD</t>
  </si>
  <si>
    <t xml:space="preserve">Buildings</t>
  </si>
  <si>
    <t xml:space="preserve">Long-term bank loan</t>
  </si>
  <si>
    <t xml:space="preserve">Mortgage / obligations on land &amp; bldgs</t>
  </si>
  <si>
    <t xml:space="preserve">Share capital</t>
  </si>
  <si>
    <t xml:space="preserve">Share premium</t>
  </si>
  <si>
    <t xml:space="preserve">Dr: expenses</t>
  </si>
  <si>
    <t xml:space="preserve">Cr: revenues</t>
  </si>
  <si>
    <t xml:space="preserve">Total debits posted (excl. BB)</t>
  </si>
  <si>
    <t xml:space="preserve">Total credits posted (excl. BB)</t>
  </si>
  <si>
    <t xml:space="preserve">CHECK: debits = credits</t>
  </si>
  <si>
    <t xml:space="preserve">BALANCE SHEET  (statement of financial position)</t>
  </si>
  <si>
    <t xml:space="preserve">31 Dec 2010</t>
  </si>
  <si>
    <t xml:space="preserve">31 Dec 2011</t>
  </si>
  <si>
    <t xml:space="preserve">Change (Δ)</t>
  </si>
  <si>
    <t xml:space="preserve">This sheet is 100% formulas</t>
  </si>
  <si>
    <t xml:space="preserve">Current assets</t>
  </si>
  <si>
    <t xml:space="preserve">Everything comes from the T-Accounts sheet: Beginning = BB row, Ending = EB row. Don't type here. If a number is wrong, fix the T-account.</t>
  </si>
  <si>
    <t xml:space="preserve">Account names come from the T-account titles, so renaming a T renames the line here.</t>
  </si>
  <si>
    <t xml:space="preserve">Classification (CN-231-E)</t>
  </si>
  <si>
    <t xml:space="preserve">Current = cash, or turned into cash / sold / used up within 12 months or the operating cycle, whichever is longer.</t>
  </si>
  <si>
    <t xml:space="preserve">Cash &amp; cash equivalents: cash + investments maturing in under 3 months.</t>
  </si>
  <si>
    <t xml:space="preserve">Marketable securities: 3 to 12 months (current). Longer = financial investments (non-current).</t>
  </si>
  <si>
    <t xml:space="preserve">Current portion of a long-term loan (next repayment) goes in current liabilities.</t>
  </si>
  <si>
    <t xml:space="preserve">Total current assets (CA)</t>
  </si>
  <si>
    <t xml:space="preserve">PPE and intangibles are shown at cost less accumulated depreciation/amortization. Land is not depreciated.</t>
  </si>
  <si>
    <t xml:space="preserve">Non-current assets</t>
  </si>
  <si>
    <t xml:space="preserve">Profit for the period line</t>
  </si>
  <si>
    <t xml:space="preserve">Shows 0 once you have recorded the closing entry (net profit moved into Retained profits). If you have not, the net profit shows here. The total is correct either way.</t>
  </si>
  <si>
    <t xml:space="preserve">Presentation</t>
  </si>
  <si>
    <t xml:space="preserve">This layout is the stakeholder view (A = L + OE). Continental Europe shows NCA first. UK/Ireland uses net assets (NCA + CA − CL − NCL = OE). The numbers are the same in all three.</t>
  </si>
  <si>
    <t xml:space="preserve">      Buildings, net</t>
  </si>
  <si>
    <t xml:space="preserve">Both check cells must be green in BOTH columns. If only Ending fails, a transaction is posted on one side only.</t>
  </si>
  <si>
    <t xml:space="preserve">      Furniture &amp; equipment, net</t>
  </si>
  <si>
    <t xml:space="preserve">      Machinery, net</t>
  </si>
  <si>
    <t xml:space="preserve">Total non-current assets (NCA)</t>
  </si>
  <si>
    <t xml:space="preserve">TOTAL ASSETS</t>
  </si>
  <si>
    <t xml:space="preserve">Total owners' equity (OE)</t>
  </si>
  <si>
    <t xml:space="preserve">Non-current liabilities</t>
  </si>
  <si>
    <t xml:space="preserve">Total non-current liabilities (NCL)</t>
  </si>
  <si>
    <t xml:space="preserve">Current liabilities</t>
  </si>
  <si>
    <t xml:space="preserve">Total current liabilities (CL)</t>
  </si>
  <si>
    <t xml:space="preserve">Total liabilities (L)</t>
  </si>
  <si>
    <t xml:space="preserve">TOTAL OWNERS' EQUITY &amp; LIABILITIES</t>
  </si>
  <si>
    <t xml:space="preserve">CHECK: Assets = Liabilities + Owners' equity</t>
  </si>
  <si>
    <t xml:space="preserve">CHECK: T-accounts debits = credits</t>
  </si>
  <si>
    <t xml:space="preserve">Key figures</t>
  </si>
  <si>
    <t xml:space="preserve">   Working capital (CA − CL)</t>
  </si>
  <si>
    <t xml:space="preserve">   Net assets (A − L) = OE</t>
  </si>
  <si>
    <t xml:space="preserve">   Debt-to-equity (L / OE)</t>
  </si>
  <si>
    <t xml:space="preserve">   Current ratio (CA / CL)</t>
  </si>
  <si>
    <t xml:space="preserve">INCOME STATEMENT  (P&amp;L)</t>
  </si>
  <si>
    <t xml:space="preserve">Amount</t>
  </si>
  <si>
    <t xml:space="preserve">% of sales</t>
  </si>
  <si>
    <t xml:space="preserve">Sales revenue (590 mixers on credit)</t>
  </si>
  <si>
    <t xml:space="preserve">Sign convention</t>
  </si>
  <si>
    <t xml:space="preserve">− Cost of goods sold (FIFO: 40 × 800 + 550 × 740)</t>
  </si>
  <si>
    <t xml:space="preserve">Type revenues and gains as POSITIVE and expenses and losses as NEGATIVE (e.g. COGS −781), as in the course notes. Subtotals simply add up.</t>
  </si>
  <si>
    <t xml:space="preserve">= Gross profit (margin)</t>
  </si>
  <si>
    <t xml:space="preserve">Where the numbers come from</t>
  </si>
  <si>
    <t xml:space="preserve">− Selling &amp; administrative expenses (incl. 100,000 personnel)</t>
  </si>
  <si>
    <t xml:space="preserve">Every line is one of the entries on the P&amp;L T-account: credits are revenues, debits are expenses.</t>
  </si>
  <si>
    <t xml:space="preserve">− Administration expenses</t>
  </si>
  <si>
    <t xml:space="preserve">Only use the lines the case needs and leave the rest empty (they show '-').</t>
  </si>
  <si>
    <t xml:space="preserve">− Research &amp; development expenses</t>
  </si>
  <si>
    <t xml:space="preserve">Format (CN-232-E)</t>
  </si>
  <si>
    <t xml:space="preserve">− Salaries expense (if not split by function)</t>
  </si>
  <si>
    <t xml:space="preserve">By function (Table 1): COGS, marketing &amp; selling, administration, R&amp;D.</t>
  </si>
  <si>
    <t xml:space="preserve">− Rent expense</t>
  </si>
  <si>
    <t xml:space="preserve">By nature (Table 2): materials, personnel/salaries, depreciation, other.</t>
  </si>
  <si>
    <t xml:space="preserve">− Depreciation &amp; amortization (building 5,000 + website 6,000)</t>
  </si>
  <si>
    <t xml:space="preserve">Homework cases often mix the two (like DSJ: salaries, rent, depreciation, other opex). That's why both kinds of line are here. Never put the same cost on two lines.</t>
  </si>
  <si>
    <t xml:space="preserve">− Bad debt expense (uncollectible receivables)</t>
  </si>
  <si>
    <t xml:space="preserve">Classic mistakes</t>
  </si>
  <si>
    <t xml:space="preserve">+/− Loss on sale of old furniture &amp; equipment (9,000 − 16,000)</t>
  </si>
  <si>
    <t xml:space="preserve">Revenue is recognised on DELIVERY, not when cash is received. Customer deposits are a liability, not revenue.</t>
  </si>
  <si>
    <t xml:space="preserve">= Operating profit (EBIT)</t>
  </si>
  <si>
    <t xml:space="preserve">COGS is the cost of the units SOLD, not of the units purchased.</t>
  </si>
  <si>
    <t xml:space="preserve">+ Financial income</t>
  </si>
  <si>
    <t xml:space="preserve">Only the part of prepaid rent used up in the period is an expense.</t>
  </si>
  <si>
    <t xml:space="preserve">− Financial expenses (interest)</t>
  </si>
  <si>
    <t xml:space="preserve">Interest expense accrues with time, whether or not it is paid.</t>
  </si>
  <si>
    <t xml:space="preserve">= Profit before tax</t>
  </si>
  <si>
    <t xml:space="preserve">Loan principal repayments, dividends and asset purchases are NOT expenses.</t>
  </si>
  <si>
    <t xml:space="preserve">− Tax expense</t>
  </si>
  <si>
    <t xml:space="preserve">A gain or loss on selling PPE = price − book value. It goes in 'non-recurring items', not in sales.</t>
  </si>
  <si>
    <t xml:space="preserve">= Net profit from continuing operations</t>
  </si>
  <si>
    <t xml:space="preserve">Tax expense = tax rate × profit before tax (unless the case says otherwise).</t>
  </si>
  <si>
    <t xml:space="preserve">+/− Profit (loss) from discontinued operations</t>
  </si>
  <si>
    <t xml:space="preserve">Memo items</t>
  </si>
  <si>
    <t xml:space="preserve">= NET PROFIT</t>
  </si>
  <si>
    <t xml:space="preserve">D&amp;A is filled in from the depreciation line. If depreciation is hidden inside COGS/SG&amp;A, type the total over the formula.</t>
  </si>
  <si>
    <t xml:space="preserve">− Profit for minority (non-controlling) interests</t>
  </si>
  <si>
    <t xml:space="preserve">Gain/loss on sale: type it here as well so the indirect cash flow can remove it.</t>
  </si>
  <si>
    <t xml:space="preserve">= Net profit for parent company owners</t>
  </si>
  <si>
    <t xml:space="preserve">Check</t>
  </si>
  <si>
    <t xml:space="preserve">Compares net profit with the balance of the P&amp;L T-account. Lines tagged # 'CE' (the closing entry) are ignored.</t>
  </si>
  <si>
    <t xml:space="preserve">Memo items (used by the indirect cash flow)</t>
  </si>
  <si>
    <t xml:space="preserve">Total D&amp;A charged in 2011 incl. machinery 40,000 in product cost (positive)</t>
  </si>
  <si>
    <t xml:space="preserve">Gain (+) / loss (−) on sale of non-current assets included above</t>
  </si>
  <si>
    <t xml:space="preserve">Net profit according to the P&amp;L T-account (excl. CE)</t>
  </si>
  <si>
    <t xml:space="preserve">CHECK: Income statement = P&amp;L T-account</t>
  </si>
  <si>
    <t xml:space="preserve">STATEMENT OF CASH FLOWS</t>
  </si>
  <si>
    <t xml:space="preserve">A) DIRECT METHOD  (list of cash movements; + collections / − payments)</t>
  </si>
  <si>
    <t xml:space="preserve">Operating activities</t>
  </si>
  <si>
    <t xml:space="preserve">Sign convention (CN-233-E)</t>
  </si>
  <si>
    <t xml:space="preserve">+ Collections from customers (incl. customer deposits)</t>
  </si>
  <si>
    <t xml:space="preserve">Cash collections are positive and cash payments negative. Type −20,000 for a payment.</t>
  </si>
  <si>
    <t xml:space="preserve">+ Interest / dividends received</t>
  </si>
  <si>
    <t xml:space="preserve">Direct method: where the numbers come from</t>
  </si>
  <si>
    <t xml:space="preserve">− Payments to raw-material suppliers</t>
  </si>
  <si>
    <t xml:space="preserve">Go through the CASH T-account line by line. Every debit is a collection and every credit is a payment. Tag each one O, I or F.</t>
  </si>
  <si>
    <t xml:space="preserve">− Payments to employees (80,000 production + 100,000 S&amp;A)</t>
  </si>
  <si>
    <t xml:space="preserve">Only CASH moves go here. Depreciation, purchases on credit, accruals and gains/losses never do.</t>
  </si>
  <si>
    <t xml:space="preserve">− Payments for rent (incl. prepaid rent)</t>
  </si>
  <si>
    <t xml:space="preserve">Classification</t>
  </si>
  <si>
    <t xml:space="preserve">− Other manufacturing (82,000) and S&amp;A (50,000) expenses</t>
  </si>
  <si>
    <t xml:space="preserve">Operating: customers, suppliers, employees, rent, utilities, INTEREST paid and TAXES paid.</t>
  </si>
  <si>
    <t xml:space="preserve">− Payments for interest</t>
  </si>
  <si>
    <t xml:space="preserve">Investing: buying/selling land, buildings, equipment, software, shares of other companies.</t>
  </si>
  <si>
    <t xml:space="preserve">− Payments for taxes</t>
  </si>
  <si>
    <t xml:space="preserve">Financing: share issues, new loans, repaying loan/mortgage PRINCIPAL, dividends paid.</t>
  </si>
  <si>
    <t xml:space="preserve">= Cash flow from operating activities (CFO)</t>
  </si>
  <si>
    <t xml:space="preserve">A mortgage/loan repayment is FINANCING (principal). Its interest is OPERATING.</t>
  </si>
  <si>
    <t xml:space="preserve">Paying a seller later for a building/land bought on credit is an investing outflow when paid.</t>
  </si>
  <si>
    <t xml:space="preserve">Investing activities</t>
  </si>
  <si>
    <t xml:space="preserve">Selling PPE: the whole cash received goes in CFI. The gain/loss is only an adjustment in the indirect CFO.</t>
  </si>
  <si>
    <t xml:space="preserve">− Purchase of machinery (80,000 in January + 160,000 in September)</t>
  </si>
  <si>
    <t xml:space="preserve">Marketable securities maturing in under 3 months are cash equivalents, so there is no cash flow line.</t>
  </si>
  <si>
    <t xml:space="preserve">− Purchase of new furniture &amp; equipment</t>
  </si>
  <si>
    <t xml:space="preserve">Indirect method (automatic)</t>
  </si>
  <si>
    <t xml:space="preserve">− Purchase of intangible assets (software, patents)</t>
  </si>
  <si>
    <t xml:space="preserve">Starts from net profit and uses the Balance Sheet changes (Δ = EB − BB). Assets: minus the increase. Liabilities: plus the increase.</t>
  </si>
  <si>
    <t xml:space="preserve">− Investment in shares / marketable securities</t>
  </si>
  <si>
    <t xml:space="preserve">It only matches the direct method if the Income Statement memo items (D&amp;A, gain/loss) are filled in.</t>
  </si>
  <si>
    <t xml:space="preserve">+ Sale of old furniture &amp; equipment</t>
  </si>
  <si>
    <t xml:space="preserve">Dividends payable, loans and mortgages are NOT operating liabilities, so they are left out on purpose.</t>
  </si>
  <si>
    <t xml:space="preserve">+ Sale of shares / marketable securities</t>
  </si>
  <si>
    <t xml:space="preserve">= Cash flow from (used in) investing activities (CFI)</t>
  </si>
  <si>
    <t xml:space="preserve">1) Ending cash = Balance Sheet cash.  2) Indirect CFO = direct CFO.  3) The three flows explain the change in cash.</t>
  </si>
  <si>
    <t xml:space="preserve">If check 2 fails, open the CF Worksheet sheet to find the account that isn't explained.</t>
  </si>
  <si>
    <t xml:space="preserve">Financing activities</t>
  </si>
  <si>
    <t xml:space="preserve">+ Issue of share capital (incl. share premium)</t>
  </si>
  <si>
    <t xml:space="preserve">+ New loans / mortgages received</t>
  </si>
  <si>
    <t xml:space="preserve">− Loan &amp; mortgage repayments (principal only)</t>
  </si>
  <si>
    <t xml:space="preserve">− Dividends paid</t>
  </si>
  <si>
    <t xml:space="preserve">= Cash flow from (used in) financing activities (CFF)</t>
  </si>
  <si>
    <t xml:space="preserve">CHANGE IN CASH (CFO + CFI + CFF)</t>
  </si>
  <si>
    <t xml:space="preserve">Cash, beginning balance</t>
  </si>
  <si>
    <t xml:space="preserve">Change in cash during the period</t>
  </si>
  <si>
    <t xml:space="preserve">Cash, ending balance</t>
  </si>
  <si>
    <t xml:space="preserve">CHECK: ending cash = Balance Sheet cash</t>
  </si>
  <si>
    <t xml:space="preserve">Free cash flow (CFO + CFI, as in the course example)</t>
  </si>
  <si>
    <t xml:space="preserve">B) INDIRECT METHOD for CFO  (net profit ± adjustments; automatic)</t>
  </si>
  <si>
    <t xml:space="preserve">Net profit</t>
  </si>
  <si>
    <t xml:space="preserve">+ Depreciation &amp; amortization</t>
  </si>
  <si>
    <t xml:space="preserve">− Gains / + losses on sale of non-current assets</t>
  </si>
  <si>
    <t xml:space="preserve">− Increase / + decrease in accounts receivable</t>
  </si>
  <si>
    <t xml:space="preserve">− Increase / + decrease in inventories</t>
  </si>
  <si>
    <t xml:space="preserve">− Increase / + decrease in prepaid expenses</t>
  </si>
  <si>
    <t xml:space="preserve">− Increase / + decrease in other current assets</t>
  </si>
  <si>
    <t xml:space="preserve">+ Increase / − decrease in accounts payable</t>
  </si>
  <si>
    <t xml:space="preserve">+ Increase / − decrease in salaries payable</t>
  </si>
  <si>
    <t xml:space="preserve">+ Increase / − decrease in interest payable</t>
  </si>
  <si>
    <t xml:space="preserve">+ Increase / − decrease in taxes payable</t>
  </si>
  <si>
    <t xml:space="preserve">+ Increase / − decrease in deposits from customers</t>
  </si>
  <si>
    <t xml:space="preserve">= CFO (indirect method)</t>
  </si>
  <si>
    <t xml:space="preserve">CHECK: CFO indirect = CFO direct</t>
  </si>
  <si>
    <t xml:space="preserve">CHECK: CFO + CFI + CFF = ΔCash on the Balance Sheet</t>
  </si>
  <si>
    <t xml:space="preserve">CASH FLOW WORKSHEET   ΔCash = −ΔAssets other than cash + ΔL + ΔOE</t>
  </si>
  <si>
    <t xml:space="preserve">Balance sheet account</t>
  </si>
  <si>
    <t xml:space="preserve">Change (sign-adjusted)</t>
  </si>
  <si>
    <t xml:space="preserve">CFO
(net profit ± adj.)</t>
  </si>
  <si>
    <t xml:space="preserve">CFI
(cash only)</t>
  </si>
  <si>
    <t xml:space="preserve">CFF
(cash only)</t>
  </si>
  <si>
    <t xml:space="preserve">Unexplained
(must be 0)</t>
  </si>
  <si>
    <t xml:space="preserve">Explanation (e.g. dep 54 + loss 7)</t>
  </si>
  <si>
    <t xml:space="preserve">Assets other than cash  (reverse the sign: an increase uses cash)</t>
  </si>
  <si>
    <t xml:space="preserve">What this is</t>
  </si>
  <si>
    <t xml:space="preserve">The course's spreadsheet approach (CN-233-E, p. 4–8). Explain the change in every non-cash account and you have explained the change in cash.</t>
  </si>
  <si>
    <t xml:space="preserve">944,000 sales − 850,000 collected − 10,000 bad debts</t>
  </si>
  <si>
    <t xml:space="preserve">Optional, but it's the best way to find a mistake in the indirect method.</t>
  </si>
  <si>
    <t xml:space="preserve">Finished goods 32,000 → 37,000 (50 units × 740)</t>
  </si>
  <si>
    <t xml:space="preserve">How to fill</t>
  </si>
  <si>
    <t xml:space="preserve">Raw materials 270,000 bought − 242,000 used</t>
  </si>
  <si>
    <t xml:space="preserve">Column C is automatic. Split it into CFO / CFI / CFF so that 'Unexplained' becomes 0.</t>
  </si>
  <si>
    <t xml:space="preserve">No work in progress at year end</t>
  </si>
  <si>
    <t xml:space="preserve">CFI and CFF: only real cash flows (purchase of PPE, loan repaid, dividends paid…).</t>
  </si>
  <si>
    <t xml:space="preserve">CFO: net profit and non-cash adjustments (depreciation, losses, changes in working capital).</t>
  </si>
  <si>
    <t xml:space="preserve">Several items in one cell: type a formula, e.g. =54+7, and write the story in column H.</t>
  </si>
  <si>
    <t xml:space="preserve">New F&amp;E −25,000 and sale +9,000 (CFI); loss 7,000 + AD removed 4,000 (CFO)</t>
  </si>
  <si>
    <t xml:space="preserve">Course example (ABC Co.)</t>
  </si>
  <si>
    <t xml:space="preserve">Machinery purchase (80,000 + 160,000)</t>
  </si>
  <si>
    <t xml:space="preserve">PPE net −6 = +54 depreciation (CFO) +7 loss on sale (CFO) −72 purchase (CFI) +5 sale (CFI).</t>
  </si>
  <si>
    <t xml:space="preserve">Website amortization added back</t>
  </si>
  <si>
    <t xml:space="preserve">Retained earnings +34 = +44 net profit (CFO) −10 dividends (CFF).</t>
  </si>
  <si>
    <t xml:space="preserve">Contra-assets  (accumulated depreciation lowers assets, so it is added back)</t>
  </si>
  <si>
    <t xml:space="preserve">Interest payable −2 → CFO.  Bank loan −31 → CFF.  New shares +15 → CFF.</t>
  </si>
  <si>
    <t xml:space="preserve">Building depreciation added back</t>
  </si>
  <si>
    <t xml:space="preserve">Tips</t>
  </si>
  <si>
    <t xml:space="preserve">AD of the furniture sold, removed</t>
  </si>
  <si>
    <t xml:space="preserve">If you did not record the closing entry, net profit sits in the P&amp;L row: put it in CFO there.</t>
  </si>
  <si>
    <t xml:space="preserve">Machinery depreciation (inside product cost) added back</t>
  </si>
  <si>
    <t xml:space="preserve">If you use separate accumulated depreciation accounts, the depreciation goes on those rows (CFO) and the PPE-at-cost row only shows purchases and disposals.</t>
  </si>
  <si>
    <t xml:space="preserve">Raw materials bought 270,000 − paid 250,000</t>
  </si>
  <si>
    <t xml:space="preserve">Net profit 327,000 (CFO) − dividends 30,000 (CFF)</t>
  </si>
  <si>
    <t xml:space="preserve">TOTALS  = ΔCash  |  CFO  |  CFI  |  CFF</t>
  </si>
  <si>
    <t xml:space="preserve">CHECK: total change = ΔCash on the Balance Sheet</t>
  </si>
  <si>
    <t xml:space="preserve">CHECK: every change explained</t>
  </si>
  <si>
    <t xml:space="preserve">CHECK: CFO / CFI / CFF = Cash Flow sheet</t>
  </si>
</sst>
</file>

<file path=xl/styles.xml><?xml version="1.0" encoding="utf-8"?>
<styleSheet xmlns="http://schemas.openxmlformats.org/spreadsheetml/2006/main">
  <numFmts count="4">
    <numFmt numFmtId="164" formatCode="General"/>
    <numFmt numFmtId="165" formatCode="#,##0;\-#,##0;\-"/>
    <numFmt numFmtId="166" formatCode="0.00\x"/>
    <numFmt numFmtId="167" formatCode="0.0%;\-0.0%;\-"/>
  </numFmts>
  <fonts count="2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i val="true"/>
      <sz val="9"/>
      <color rgb="FF000000"/>
      <name val="Arial"/>
      <family val="0"/>
      <charset val="1"/>
    </font>
    <font>
      <b val="true"/>
      <sz val="10"/>
      <color rgb="FFFFFFFF"/>
      <name val="Arial"/>
      <family val="0"/>
      <charset val="1"/>
    </font>
    <font>
      <sz val="10"/>
      <color rgb="FF000000"/>
      <name val="Arial"/>
      <family val="0"/>
      <charset val="1"/>
    </font>
    <font>
      <b val="true"/>
      <sz val="10"/>
      <color rgb="FF0000FF"/>
      <name val="Arial"/>
      <family val="0"/>
      <charset val="1"/>
    </font>
    <font>
      <b val="true"/>
      <sz val="10"/>
      <color rgb="FF006100"/>
      <name val="Arial"/>
      <family val="0"/>
      <charset val="1"/>
    </font>
    <font>
      <b val="true"/>
      <sz val="10"/>
      <color rgb="FF9C0006"/>
      <name val="Arial"/>
      <family val="0"/>
      <charset val="1"/>
    </font>
    <font>
      <i val="true"/>
      <sz val="10"/>
      <color rgb="FF000000"/>
      <name val="Arial"/>
      <family val="0"/>
      <charset val="1"/>
    </font>
    <font>
      <b val="true"/>
      <sz val="11"/>
      <color rgb="FFFFFFFF"/>
      <name val="Arial"/>
      <family val="0"/>
      <charset val="1"/>
    </font>
    <font>
      <sz val="9"/>
      <name val="Arial"/>
      <family val="0"/>
      <charset val="1"/>
    </font>
    <font>
      <b val="true"/>
      <sz val="9"/>
      <name val="Arial"/>
      <family val="0"/>
      <charset val="1"/>
    </font>
    <font>
      <sz val="9"/>
      <color rgb="FF000000"/>
      <name val="Arial"/>
      <family val="0"/>
      <charset val="1"/>
    </font>
    <font>
      <b val="true"/>
      <sz val="9"/>
      <color rgb="FF000000"/>
      <name val="Arial"/>
      <family val="0"/>
      <charset val="1"/>
    </font>
    <font>
      <b val="true"/>
      <sz val="12"/>
      <color rgb="FFFFFFFF"/>
      <name val="Arial"/>
      <family val="0"/>
      <charset val="1"/>
    </font>
    <font>
      <b val="true"/>
      <sz val="8"/>
      <color rgb="FF000000"/>
      <name val="Arial"/>
      <family val="0"/>
      <charset val="1"/>
    </font>
    <font>
      <sz val="8"/>
      <color rgb="FF7F7F7F"/>
      <name val="Arial"/>
      <family val="0"/>
      <charset val="1"/>
    </font>
    <font>
      <sz val="10"/>
      <color rgb="FF595959"/>
      <name val="Arial"/>
      <family val="0"/>
      <charset val="1"/>
    </font>
    <font>
      <sz val="9"/>
      <color rgb="FF595959"/>
      <name val="Arial"/>
      <family val="0"/>
      <charset val="1"/>
    </font>
    <font>
      <b val="true"/>
      <sz val="9"/>
      <color rgb="FF595959"/>
      <name val="Arial"/>
      <family val="0"/>
      <charset val="1"/>
    </font>
    <font>
      <b val="true"/>
      <sz val="9"/>
      <color rgb="FFFFFFFF"/>
      <name val="Arial"/>
      <family val="0"/>
      <charset val="1"/>
    </font>
    <font>
      <b val="true"/>
      <sz val="13"/>
      <color rgb="FFFFFFFF"/>
      <name val="Arial"/>
      <family val="0"/>
      <charset val="1"/>
    </font>
    <font>
      <sz val="9"/>
      <color rgb="FF0000FF"/>
      <name val="Arial"/>
      <family val="0"/>
      <charset val="1"/>
    </font>
  </fonts>
  <fills count="23">
    <fill>
      <patternFill patternType="none"/>
    </fill>
    <fill>
      <patternFill patternType="gray125"/>
    </fill>
    <fill>
      <patternFill patternType="solid">
        <fgColor rgb="FF404040"/>
        <bgColor rgb="FF333300"/>
      </patternFill>
    </fill>
    <fill>
      <patternFill patternType="solid">
        <fgColor rgb="FFFFFF00"/>
        <bgColor rgb="FFFFE0B2"/>
      </patternFill>
    </fill>
    <fill>
      <patternFill patternType="solid">
        <fgColor rgb="FF595959"/>
        <bgColor rgb="FF404040"/>
      </patternFill>
    </fill>
    <fill>
      <patternFill patternType="solid">
        <fgColor rgb="FFD62E4E"/>
        <bgColor rgb="FF993300"/>
      </patternFill>
    </fill>
    <fill>
      <patternFill patternType="solid">
        <fgColor rgb="FFFFD7D7"/>
        <bgColor rgb="FFFFC7CE"/>
      </patternFill>
    </fill>
    <fill>
      <patternFill patternType="solid">
        <fgColor rgb="FF729FCF"/>
        <bgColor rgb="FF808080"/>
      </patternFill>
    </fill>
    <fill>
      <patternFill patternType="solid">
        <fgColor rgb="FFB4C7DC"/>
        <bgColor rgb="FFBFBFBF"/>
      </patternFill>
    </fill>
    <fill>
      <patternFill patternType="solid">
        <fgColor rgb="FFDDE8F3"/>
        <bgColor rgb="FFEDEDED"/>
      </patternFill>
    </fill>
    <fill>
      <patternFill patternType="solid">
        <fgColor rgb="FFFFF2CC"/>
        <bgColor rgb="FFFFFBEA"/>
      </patternFill>
    </fill>
    <fill>
      <patternFill patternType="solid">
        <fgColor rgb="FF2E7D32"/>
        <bgColor rgb="FF008080"/>
      </patternFill>
    </fill>
    <fill>
      <patternFill patternType="solid">
        <fgColor rgb="FF6A1B9A"/>
        <bgColor rgb="FF800080"/>
      </patternFill>
    </fill>
    <fill>
      <patternFill patternType="solid">
        <fgColor rgb="FFC6EFCE"/>
        <bgColor rgb="FFC8E6C9"/>
      </patternFill>
    </fill>
    <fill>
      <patternFill patternType="solid">
        <fgColor rgb="FFFFC7CE"/>
        <bgColor rgb="FFFFD7D7"/>
      </patternFill>
    </fill>
    <fill>
      <patternFill patternType="solid">
        <fgColor rgb="FFF2F2F2"/>
        <bgColor rgb="FFF7F7F7"/>
      </patternFill>
    </fill>
    <fill>
      <patternFill patternType="solid">
        <fgColor rgb="FFE1BEE7"/>
        <bgColor rgb="FFFFC7CE"/>
      </patternFill>
    </fill>
    <fill>
      <patternFill patternType="solid">
        <fgColor rgb="FFFFE0B2"/>
        <bgColor rgb="FFFFD7D7"/>
      </patternFill>
    </fill>
    <fill>
      <patternFill patternType="solid">
        <fgColor rgb="FFB2EBF2"/>
        <bgColor rgb="FFC6EFCE"/>
      </patternFill>
    </fill>
    <fill>
      <patternFill patternType="solid">
        <fgColor rgb="FFF7F7F7"/>
        <bgColor rgb="FFF2F2F2"/>
      </patternFill>
    </fill>
    <fill>
      <patternFill patternType="solid">
        <fgColor rgb="FFFFFBEA"/>
        <bgColor rgb="FFF7F7F7"/>
      </patternFill>
    </fill>
    <fill>
      <patternFill patternType="solid">
        <fgColor rgb="FFEDEDED"/>
        <bgColor rgb="FFF2F2F2"/>
      </patternFill>
    </fill>
    <fill>
      <patternFill patternType="solid">
        <fgColor rgb="FFC8E6C9"/>
        <bgColor rgb="FFC6EFCE"/>
      </patternFill>
    </fill>
  </fills>
  <borders count="12">
    <border diagonalUp="false" diagonalDown="false">
      <left/>
      <right/>
      <top/>
      <bottom/>
      <diagonal/>
    </border>
    <border diagonalUp="false" diagonalDown="false">
      <left/>
      <right/>
      <top/>
      <bottom style="thin"/>
      <diagonal/>
    </border>
    <border diagonalUp="false" diagonalDown="false">
      <left/>
      <right/>
      <top/>
      <bottom style="thin">
        <color rgb="FFBFBFBF"/>
      </bottom>
      <diagonal/>
    </border>
    <border diagonalUp="false" diagonalDown="false">
      <left/>
      <right/>
      <top/>
      <bottom style="medium"/>
      <diagonal/>
    </border>
    <border diagonalUp="false" diagonalDown="false">
      <left/>
      <right style="medium"/>
      <top/>
      <bottom style="medium"/>
      <diagonal/>
    </border>
    <border diagonalUp="false" diagonalDown="false">
      <left/>
      <right style="medium"/>
      <top/>
      <bottom style="thin">
        <color rgb="FFBFBFBF"/>
      </bottom>
      <diagonal/>
    </border>
    <border diagonalUp="false" diagonalDown="false">
      <left/>
      <right/>
      <top style="thin"/>
      <bottom/>
      <diagonal/>
    </border>
    <border diagonalUp="false" diagonalDown="false">
      <left/>
      <right style="medium"/>
      <top style="thin"/>
      <bottom/>
      <diagonal/>
    </border>
    <border diagonalUp="false" diagonalDown="false">
      <left/>
      <right style="medium"/>
      <top style="thin"/>
      <bottom style="medium"/>
      <diagonal/>
    </border>
    <border diagonalUp="false" diagonalDown="false">
      <left/>
      <right/>
      <top style="thin"/>
      <bottom style="medium"/>
      <diagonal/>
    </border>
    <border diagonalUp="false" diagonalDown="false">
      <left/>
      <right/>
      <top style="medium"/>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8" fillId="5" borderId="0" xfId="0" applyFont="true" applyBorder="fals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4" fontId="8" fillId="7" borderId="0" xfId="0" applyFont="true" applyBorder="false" applyAlignment="true" applyProtection="false">
      <alignment horizontal="center" vertical="center" textRotation="0" wrapText="fals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4" fontId="5" fillId="10" borderId="0" xfId="0" applyFont="true" applyBorder="false" applyAlignment="true" applyProtection="false">
      <alignment horizontal="center" vertical="center" textRotation="0" wrapText="false" indent="0" shrinkToFit="false"/>
      <protection locked="true" hidden="false"/>
    </xf>
    <xf numFmtId="164" fontId="8" fillId="11" borderId="0" xfId="0" applyFont="true" applyBorder="false" applyAlignment="true" applyProtection="false">
      <alignment horizontal="center" vertical="center" textRotation="0" wrapText="false" indent="0" shrinkToFit="false"/>
      <protection locked="true" hidden="false"/>
    </xf>
    <xf numFmtId="164" fontId="8" fillId="12" borderId="0" xfId="0" applyFont="true" applyBorder="false" applyAlignment="true" applyProtection="false">
      <alignment horizontal="center" vertical="center" textRotation="0" wrapText="false" indent="0" shrinkToFit="false"/>
      <protection locked="true" hidden="false"/>
    </xf>
    <xf numFmtId="164" fontId="11" fillId="13" borderId="0" xfId="0" applyFont="true" applyBorder="false" applyAlignment="true" applyProtection="false">
      <alignment horizontal="center" vertical="center" textRotation="0" wrapText="false" indent="0" shrinkToFit="false"/>
      <protection locked="true" hidden="false"/>
    </xf>
    <xf numFmtId="164" fontId="12" fillId="14" borderId="0" xfId="0" applyFont="true" applyBorder="false" applyAlignment="true" applyProtection="false">
      <alignment horizontal="center" vertical="center" textRotation="0" wrapText="false" indent="0" shrinkToFit="false"/>
      <protection locked="true" hidden="false"/>
    </xf>
    <xf numFmtId="164" fontId="5" fillId="15"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left" vertical="center"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5" fillId="16" borderId="0" xfId="0" applyFont="true" applyBorder="false" applyAlignment="true" applyProtection="false">
      <alignment horizontal="general" vertical="bottom" textRotation="0" wrapText="false" indent="0" shrinkToFit="false"/>
      <protection locked="true" hidden="false"/>
    </xf>
    <xf numFmtId="164" fontId="5" fillId="17" borderId="0" xfId="0" applyFont="true" applyBorder="false" applyAlignment="true" applyProtection="false">
      <alignment horizontal="general" vertical="bottom" textRotation="0" wrapText="false" indent="0" shrinkToFit="false"/>
      <protection locked="true" hidden="false"/>
    </xf>
    <xf numFmtId="164" fontId="5" fillId="18" borderId="0" xfId="0" applyFont="true" applyBorder="false" applyAlignment="true" applyProtection="false">
      <alignment horizontal="general" vertical="bottom" textRotation="0" wrapText="false" indent="0" shrinkToFit="false"/>
      <protection locked="true" hidden="false"/>
    </xf>
    <xf numFmtId="164" fontId="5" fillId="15"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14" fillId="4"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5" fillId="14" borderId="0" xfId="0" applyFont="true" applyBorder="false" applyAlignment="false" applyProtection="false">
      <alignment horizontal="general" vertical="bottom" textRotation="0" wrapText="false" indent="0" shrinkToFit="false"/>
      <protection locked="true" hidden="false"/>
    </xf>
    <xf numFmtId="164" fontId="15" fillId="13"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8" fillId="4" borderId="0" xfId="0" applyFont="true" applyBorder="false" applyAlignment="true" applyProtection="false">
      <alignment horizontal="center" vertical="center"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6" fillId="19" borderId="2" xfId="0" applyFont="true" applyBorder="true" applyAlignment="true" applyProtection="false">
      <alignment horizontal="center" vertical="center" textRotation="0" wrapText="false" indent="0" shrinkToFit="false"/>
      <protection locked="true" hidden="false"/>
    </xf>
    <xf numFmtId="164" fontId="6" fillId="19" borderId="2" xfId="0" applyFont="true" applyBorder="true" applyAlignment="true" applyProtection="false">
      <alignment horizontal="general" vertical="bottom" textRotation="0" wrapText="false" indent="0" shrinkToFit="false"/>
      <protection locked="true" hidden="false"/>
    </xf>
    <xf numFmtId="165" fontId="6" fillId="19" borderId="2" xfId="0" applyFont="true" applyBorder="true" applyAlignment="true" applyProtection="false">
      <alignment horizontal="general" vertical="bottom" textRotation="0" wrapText="false" indent="0" shrinkToFit="false"/>
      <protection locked="true" hidden="false"/>
    </xf>
    <xf numFmtId="164" fontId="17" fillId="0" borderId="2" xfId="0" applyFont="true" applyBorder="true" applyAlignment="true" applyProtection="false">
      <alignment horizontal="center" vertical="center" textRotation="0" wrapText="false" indent="0" shrinkToFit="false"/>
      <protection locked="true" hidden="false"/>
    </xf>
    <xf numFmtId="164" fontId="18" fillId="20" borderId="0" xfId="0" applyFont="true" applyBorder="false" applyAlignment="true" applyProtection="false">
      <alignment horizontal="general"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5" fontId="6" fillId="0" borderId="2" xfId="0" applyFont="true" applyBorder="tru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center" textRotation="0" wrapText="true" indent="0" shrinkToFit="false"/>
      <protection locked="true" hidden="false"/>
    </xf>
    <xf numFmtId="164" fontId="19" fillId="5" borderId="0" xfId="0" applyFont="true" applyBorder="true" applyAlignment="true" applyProtection="false">
      <alignment horizontal="center" vertical="center" textRotation="0" wrapText="false" indent="0" shrinkToFit="false"/>
      <protection locked="true" hidden="false"/>
    </xf>
    <xf numFmtId="164" fontId="19" fillId="7" borderId="0" xfId="0" applyFont="true" applyBorder="true" applyAlignment="true" applyProtection="false">
      <alignment horizontal="center" vertical="center" textRotation="0" wrapText="false" indent="0" shrinkToFit="false"/>
      <protection locked="true" hidden="false"/>
    </xf>
    <xf numFmtId="164" fontId="5" fillId="6" borderId="0" xfId="0" applyFont="true" applyBorder="true" applyAlignment="true" applyProtection="false">
      <alignment horizontal="center" vertical="center" textRotation="0" wrapText="false" indent="0" shrinkToFit="false"/>
      <protection locked="true" hidden="false"/>
    </xf>
    <xf numFmtId="164" fontId="5" fillId="8" borderId="0" xfId="0" applyFont="true" applyBorder="true" applyAlignment="true" applyProtection="false">
      <alignment horizontal="center" vertical="center" textRotation="0" wrapText="false" indent="0" shrinkToFit="false"/>
      <protection locked="true" hidden="false"/>
    </xf>
    <xf numFmtId="164" fontId="20" fillId="0" borderId="3" xfId="0" applyFont="true" applyBorder="true" applyAlignment="true" applyProtection="false">
      <alignment horizontal="center" vertical="center" textRotation="0" wrapText="false" indent="0" shrinkToFit="false"/>
      <protection locked="true" hidden="false"/>
    </xf>
    <xf numFmtId="164" fontId="20" fillId="0" borderId="4" xfId="0" applyFont="true" applyBorder="true" applyAlignment="true" applyProtection="false">
      <alignment horizontal="center" vertical="center" textRotation="0" wrapText="false" indent="0" shrinkToFit="false"/>
      <protection locked="true" hidden="false"/>
    </xf>
    <xf numFmtId="164" fontId="20" fillId="21" borderId="2" xfId="0" applyFont="true" applyBorder="true" applyAlignment="true" applyProtection="false">
      <alignment horizontal="center" vertical="center" textRotation="0" wrapText="false" indent="0" shrinkToFit="false"/>
      <protection locked="true" hidden="false"/>
    </xf>
    <xf numFmtId="165" fontId="6" fillId="21" borderId="5" xfId="0" applyFont="true" applyBorder="true" applyAlignment="true" applyProtection="false">
      <alignment horizontal="general" vertical="bottom" textRotation="0" wrapText="false" indent="0" shrinkToFit="false"/>
      <protection locked="true" hidden="false"/>
    </xf>
    <xf numFmtId="165" fontId="6" fillId="21" borderId="2" xfId="0" applyFont="true" applyBorder="true" applyAlignment="true" applyProtection="false">
      <alignment horizontal="general" vertical="bottom" textRotation="0" wrapText="false" indent="0" shrinkToFit="false"/>
      <protection locked="true" hidden="false"/>
    </xf>
    <xf numFmtId="164" fontId="21" fillId="15" borderId="2" xfId="0" applyFont="true" applyBorder="true" applyAlignment="true" applyProtection="false">
      <alignment horizontal="center" vertical="center" textRotation="0" wrapText="false" indent="0" shrinkToFit="false"/>
      <protection locked="true" hidden="false"/>
    </xf>
    <xf numFmtId="165" fontId="6" fillId="0" borderId="5" xfId="0" applyFont="true" applyBorder="true" applyAlignment="true" applyProtection="false">
      <alignment horizontal="general" vertical="bottom" textRotation="0" wrapText="false" indent="0" shrinkToFit="false"/>
      <protection locked="true" hidden="false"/>
    </xf>
    <xf numFmtId="164" fontId="20" fillId="0" borderId="6" xfId="0" applyFont="true" applyBorder="true" applyAlignment="true" applyProtection="false">
      <alignment horizontal="center" vertical="center" textRotation="0" wrapText="false" indent="0" shrinkToFit="false"/>
      <protection locked="true" hidden="false"/>
    </xf>
    <xf numFmtId="165" fontId="5" fillId="0" borderId="7" xfId="0" applyFont="true" applyBorder="true" applyAlignment="true" applyProtection="false">
      <alignment horizontal="general" vertical="bottom" textRotation="0" wrapText="false" indent="0" shrinkToFit="false"/>
      <protection locked="true" hidden="false"/>
    </xf>
    <xf numFmtId="165" fontId="5" fillId="0" borderId="6" xfId="0" applyFont="true" applyBorder="true" applyAlignment="true" applyProtection="false">
      <alignment horizontal="general" vertical="bottom" textRotation="0" wrapText="false" indent="0" shrinkToFit="false"/>
      <protection locked="true" hidden="false"/>
    </xf>
    <xf numFmtId="164" fontId="20" fillId="6" borderId="0" xfId="0" applyFont="true" applyBorder="false" applyAlignment="true" applyProtection="false">
      <alignment horizontal="center" vertical="center" textRotation="0" wrapText="false" indent="0" shrinkToFit="false"/>
      <protection locked="true" hidden="false"/>
    </xf>
    <xf numFmtId="165" fontId="5" fillId="6" borderId="8" xfId="0" applyFont="true" applyBorder="true" applyAlignment="true" applyProtection="false">
      <alignment horizontal="general" vertical="bottom" textRotation="0" wrapText="false" indent="0" shrinkToFit="false"/>
      <protection locked="true" hidden="false"/>
    </xf>
    <xf numFmtId="164" fontId="0" fillId="0" borderId="6" xfId="0" applyFont="false" applyBorder="true" applyAlignment="tru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general" vertical="bottom" textRotation="0" wrapText="false" indent="0" shrinkToFit="false"/>
      <protection locked="true" hidden="false"/>
    </xf>
    <xf numFmtId="165" fontId="5" fillId="8" borderId="9" xfId="0" applyFont="true" applyBorder="tru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center" vertical="center" textRotation="0" wrapText="false" indent="0" shrinkToFit="false"/>
      <protection locked="true" hidden="false"/>
    </xf>
    <xf numFmtId="165" fontId="5" fillId="6" borderId="9" xfId="0" applyFont="true" applyBorder="true" applyAlignment="true" applyProtection="false">
      <alignment horizontal="general" vertical="bottom" textRotation="0" wrapText="false" indent="0" shrinkToFit="false"/>
      <protection locked="true" hidden="false"/>
    </xf>
    <xf numFmtId="164" fontId="5" fillId="9" borderId="0" xfId="0" applyFont="true" applyBorder="true" applyAlignment="true" applyProtection="false">
      <alignment horizontal="center" vertical="center" textRotation="0" wrapText="false" indent="0" shrinkToFit="false"/>
      <protection locked="true" hidden="false"/>
    </xf>
    <xf numFmtId="165" fontId="5" fillId="9" borderId="9" xfId="0" applyFont="true" applyBorder="true" applyAlignment="true" applyProtection="false">
      <alignment horizontal="general" vertical="bottom" textRotation="0" wrapText="false" indent="0" shrinkToFit="false"/>
      <protection locked="true" hidden="false"/>
    </xf>
    <xf numFmtId="164" fontId="20" fillId="9" borderId="0" xfId="0" applyFont="true" applyBorder="false" applyAlignment="true" applyProtection="false">
      <alignment horizontal="center" vertical="center" textRotation="0" wrapText="false" indent="0" shrinkToFit="false"/>
      <protection locked="true" hidden="false"/>
    </xf>
    <xf numFmtId="164" fontId="5" fillId="10" borderId="0" xfId="0" applyFont="true" applyBorder="true" applyAlignment="true" applyProtection="false">
      <alignment horizontal="center" vertical="center" textRotation="0" wrapText="false" indent="0" shrinkToFit="false"/>
      <protection locked="true" hidden="false"/>
    </xf>
    <xf numFmtId="165" fontId="5" fillId="10" borderId="9" xfId="0" applyFont="true" applyBorder="true" applyAlignment="true" applyProtection="false">
      <alignment horizontal="general" vertical="bottom" textRotation="0" wrapText="false" indent="0" shrinkToFit="false"/>
      <protection locked="true" hidden="false"/>
    </xf>
    <xf numFmtId="164" fontId="20" fillId="10" borderId="0" xfId="0" applyFont="true" applyBorder="false" applyAlignment="true" applyProtection="false">
      <alignment horizontal="center" vertical="center" textRotation="0" wrapText="false" indent="0" shrinkToFit="false"/>
      <protection locked="true" hidden="false"/>
    </xf>
    <xf numFmtId="164" fontId="5" fillId="15" borderId="0" xfId="0" applyFont="true" applyBorder="true" applyAlignment="true" applyProtection="false">
      <alignment horizontal="right" vertical="center" textRotation="0" wrapText="false" indent="0" shrinkToFit="false"/>
      <protection locked="true" hidden="false"/>
    </xf>
    <xf numFmtId="165" fontId="5"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5" fillId="15" borderId="1" xfId="0" applyFont="true" applyBorder="true" applyAlignment="true" applyProtection="false">
      <alignment horizontal="center" vertical="center" textRotation="0" wrapText="false" indent="0" shrinkToFit="false"/>
      <protection locked="true" hidden="false"/>
    </xf>
    <xf numFmtId="164" fontId="8" fillId="5" borderId="0" xfId="0" applyFont="true" applyBorder="true" applyAlignment="true" applyProtection="false">
      <alignment horizontal="lef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4" fontId="9" fillId="6"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5" fontId="22" fillId="0" borderId="0" xfId="0" applyFont="true" applyBorder="false" applyAlignment="true" applyProtection="false">
      <alignment horizontal="general" vertical="bottom" textRotation="0" wrapText="false" indent="0" shrinkToFit="false"/>
      <protection locked="true" hidden="false"/>
    </xf>
    <xf numFmtId="165" fontId="5" fillId="6" borderId="6" xfId="0" applyFont="true" applyBorder="true" applyAlignment="true" applyProtection="false">
      <alignment horizontal="general" vertical="bottom" textRotation="0" wrapText="false" indent="0" shrinkToFit="false"/>
      <protection locked="true" hidden="false"/>
    </xf>
    <xf numFmtId="165" fontId="9" fillId="0" borderId="6" xfId="0" applyFont="true" applyBorder="true" applyAlignment="tru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general" vertical="bottom" textRotation="0" wrapText="false" indent="0" shrinkToFit="false"/>
      <protection locked="true" hidden="false"/>
    </xf>
    <xf numFmtId="165" fontId="8" fillId="5" borderId="10" xfId="0" applyFont="true" applyBorder="true" applyAlignment="true" applyProtection="false">
      <alignment horizontal="general" vertical="bottom" textRotation="0" wrapText="false" indent="0" shrinkToFit="false"/>
      <protection locked="true" hidden="false"/>
    </xf>
    <xf numFmtId="164" fontId="8" fillId="7" borderId="0" xfId="0" applyFont="true" applyBorder="true" applyAlignment="true" applyProtection="false">
      <alignment horizontal="left" vertical="center" textRotation="0" wrapText="fals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9" fillId="9" borderId="0" xfId="0" applyFont="true" applyBorder="false" applyAlignment="true" applyProtection="false">
      <alignment horizontal="general" vertical="bottom" textRotation="0" wrapText="false" indent="0" shrinkToFit="false"/>
      <protection locked="true" hidden="false"/>
    </xf>
    <xf numFmtId="165" fontId="5" fillId="9" borderId="6" xfId="0" applyFont="true" applyBorder="true" applyAlignment="true" applyProtection="false">
      <alignment horizontal="general" vertical="bottom" textRotation="0" wrapText="false" indent="0" shrinkToFit="false"/>
      <protection locked="true" hidden="false"/>
    </xf>
    <xf numFmtId="164" fontId="5" fillId="8" borderId="0" xfId="0" applyFont="true" applyBorder="false" applyAlignment="true" applyProtection="false">
      <alignment horizontal="general" vertical="bottom" textRotation="0" wrapText="false" indent="0" shrinkToFit="false"/>
      <protection locked="true" hidden="false"/>
    </xf>
    <xf numFmtId="164" fontId="9" fillId="8" borderId="0" xfId="0" applyFont="true" applyBorder="false" applyAlignment="true" applyProtection="false">
      <alignment horizontal="general" vertical="bottom" textRotation="0" wrapText="false" indent="0" shrinkToFit="false"/>
      <protection locked="true" hidden="false"/>
    </xf>
    <xf numFmtId="165" fontId="5" fillId="8" borderId="6" xfId="0" applyFont="true" applyBorder="true" applyAlignment="true" applyProtection="false">
      <alignment horizontal="general" vertical="bottom" textRotation="0" wrapText="false" indent="0" shrinkToFit="false"/>
      <protection locked="true" hidden="false"/>
    </xf>
    <xf numFmtId="164" fontId="8" fillId="7" borderId="0" xfId="0" applyFont="true" applyBorder="false" applyAlignment="true" applyProtection="false">
      <alignment horizontal="general" vertical="bottom" textRotation="0" wrapText="false" indent="0" shrinkToFit="false"/>
      <protection locked="true" hidden="false"/>
    </xf>
    <xf numFmtId="165" fontId="8" fillId="7" borderId="10" xfId="0" applyFont="true" applyBorder="true" applyAlignment="true" applyProtection="false">
      <alignment horizontal="general" vertical="bottom" textRotation="0" wrapText="false" indent="0" shrinkToFit="false"/>
      <protection locked="true" hidden="false"/>
    </xf>
    <xf numFmtId="164" fontId="9" fillId="15"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4" fillId="11" borderId="0" xfId="0" applyFont="true" applyBorder="true" applyAlignment="true" applyProtection="false">
      <alignment horizontal="center" vertical="center" textRotation="0" wrapText="false" indent="0" shrinkToFit="false"/>
      <protection locked="true" hidden="false"/>
    </xf>
    <xf numFmtId="167" fontId="23" fillId="0" borderId="0" xfId="0" applyFont="true" applyBorder="false" applyAlignment="true" applyProtection="false">
      <alignment horizontal="center" vertical="bottom" textRotation="0" wrapText="false" indent="0" shrinkToFit="false"/>
      <protection locked="true" hidden="false"/>
    </xf>
    <xf numFmtId="164" fontId="5" fillId="22" borderId="0" xfId="0" applyFont="true" applyBorder="false" applyAlignment="true" applyProtection="false">
      <alignment horizontal="general" vertical="bottom" textRotation="0" wrapText="false" indent="0" shrinkToFit="false"/>
      <protection locked="true" hidden="false"/>
    </xf>
    <xf numFmtId="165" fontId="5" fillId="22" borderId="6" xfId="0" applyFont="true" applyBorder="true" applyAlignment="true" applyProtection="false">
      <alignment horizontal="general" vertical="bottom" textRotation="0" wrapText="false" indent="0" shrinkToFit="false"/>
      <protection locked="true" hidden="false"/>
    </xf>
    <xf numFmtId="167" fontId="24" fillId="22" borderId="0" xfId="0" applyFont="true" applyBorder="false" applyAlignment="true" applyProtection="false">
      <alignment horizontal="center" vertical="bottom" textRotation="0" wrapText="false" indent="0" shrinkToFit="false"/>
      <protection locked="true" hidden="false"/>
    </xf>
    <xf numFmtId="164" fontId="8" fillId="11" borderId="0" xfId="0" applyFont="true" applyBorder="false" applyAlignment="true" applyProtection="false">
      <alignment horizontal="general" vertical="bottom" textRotation="0" wrapText="false" indent="0" shrinkToFit="false"/>
      <protection locked="true" hidden="false"/>
    </xf>
    <xf numFmtId="165" fontId="8" fillId="11" borderId="6" xfId="0" applyFont="true" applyBorder="true" applyAlignment="true" applyProtection="false">
      <alignment horizontal="general" vertical="bottom" textRotation="0" wrapText="false" indent="0" shrinkToFit="false"/>
      <protection locked="true" hidden="false"/>
    </xf>
    <xf numFmtId="167" fontId="25" fillId="11" borderId="0" xfId="0" applyFont="true" applyBorder="false" applyAlignment="true" applyProtection="false">
      <alignment horizontal="center" vertical="bottom" textRotation="0" wrapText="false" indent="0" shrinkToFit="false"/>
      <protection locked="true" hidden="false"/>
    </xf>
    <xf numFmtId="164" fontId="4" fillId="12" borderId="0"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0" shrinkToFit="false"/>
      <protection locked="true" hidden="false"/>
    </xf>
    <xf numFmtId="164" fontId="9" fillId="16" borderId="0" xfId="0" applyFont="true" applyBorder="false" applyAlignment="true" applyProtection="false">
      <alignment horizontal="general" vertical="bottom" textRotation="0" wrapText="false" indent="0" shrinkToFit="false"/>
      <protection locked="true" hidden="false"/>
    </xf>
    <xf numFmtId="165" fontId="5" fillId="16" borderId="6" xfId="0" applyFont="true" applyBorder="true" applyAlignment="true" applyProtection="false">
      <alignment horizontal="general" vertical="bottom" textRotation="0" wrapText="false" indent="0" shrinkToFit="false"/>
      <protection locked="true" hidden="false"/>
    </xf>
    <xf numFmtId="164" fontId="9" fillId="17" borderId="0" xfId="0" applyFont="true" applyBorder="false" applyAlignment="true" applyProtection="false">
      <alignment horizontal="general" vertical="bottom" textRotation="0" wrapText="false" indent="0" shrinkToFit="false"/>
      <protection locked="true" hidden="false"/>
    </xf>
    <xf numFmtId="165" fontId="5" fillId="17" borderId="6" xfId="0" applyFont="true" applyBorder="true" applyAlignment="true" applyProtection="false">
      <alignment horizontal="general" vertical="bottom" textRotation="0" wrapText="false" indent="0" shrinkToFit="false"/>
      <protection locked="true" hidden="false"/>
    </xf>
    <xf numFmtId="164" fontId="9" fillId="18" borderId="0" xfId="0" applyFont="true" applyBorder="false" applyAlignment="true" applyProtection="false">
      <alignment horizontal="general" vertical="bottom" textRotation="0" wrapText="false" indent="0" shrinkToFit="false"/>
      <protection locked="true" hidden="false"/>
    </xf>
    <xf numFmtId="165" fontId="5" fillId="18" borderId="6" xfId="0" applyFont="true" applyBorder="true" applyAlignment="true" applyProtection="false">
      <alignment horizontal="general" vertical="bottom" textRotation="0" wrapText="false" indent="0" shrinkToFit="false"/>
      <protection locked="true" hidden="false"/>
    </xf>
    <xf numFmtId="164" fontId="8" fillId="12" borderId="0" xfId="0" applyFont="true" applyBorder="false" applyAlignment="true" applyProtection="false">
      <alignment horizontal="general" vertical="bottom" textRotation="0" wrapText="false" indent="0" shrinkToFit="false"/>
      <protection locked="true" hidden="false"/>
    </xf>
    <xf numFmtId="165" fontId="8" fillId="12" borderId="6" xfId="0" applyFont="true" applyBorder="true" applyAlignment="true" applyProtection="false">
      <alignment horizontal="general" vertical="bottom" textRotation="0" wrapText="false" indent="0" shrinkToFit="false"/>
      <protection locked="true" hidden="false"/>
    </xf>
    <xf numFmtId="165" fontId="5" fillId="0" borderId="11" xfId="0" applyFont="true" applyBorder="true" applyAlignment="true" applyProtection="false">
      <alignment horizontal="general" vertical="bottom" textRotation="0" wrapText="false" indent="0" shrinkToFit="false"/>
      <protection locked="true" hidden="false"/>
    </xf>
    <xf numFmtId="164" fontId="26" fillId="12" borderId="0" xfId="0" applyFont="true" applyBorder="true" applyAlignment="true" applyProtection="false">
      <alignment horizontal="center" vertical="center" textRotation="0" wrapText="false" indent="0" shrinkToFit="false"/>
      <protection locked="true" hidden="false"/>
    </xf>
    <xf numFmtId="164" fontId="5" fillId="15" borderId="1" xfId="0" applyFont="true" applyBorder="true" applyAlignment="true" applyProtection="false">
      <alignment horizontal="center" vertical="center" textRotation="0" wrapText="true" indent="0" shrinkToFit="false"/>
      <protection locked="true" hidden="false"/>
    </xf>
    <xf numFmtId="164" fontId="5" fillId="16" borderId="1" xfId="0" applyFont="true" applyBorder="true" applyAlignment="true" applyProtection="false">
      <alignment horizontal="center" vertical="center" textRotation="0" wrapText="true" indent="0" shrinkToFit="false"/>
      <protection locked="true" hidden="false"/>
    </xf>
    <xf numFmtId="164" fontId="5" fillId="17" borderId="1" xfId="0" applyFont="true" applyBorder="true" applyAlignment="true" applyProtection="false">
      <alignment horizontal="center" vertical="center" textRotation="0" wrapText="true" indent="0" shrinkToFit="false"/>
      <protection locked="true" hidden="false"/>
    </xf>
    <xf numFmtId="164" fontId="5" fillId="18" borderId="1" xfId="0" applyFont="true" applyBorder="true" applyAlignment="true" applyProtection="false">
      <alignment horizontal="center" vertical="center" textRotation="0" wrapText="true" indent="0" shrinkToFit="false"/>
      <protection locked="true" hidden="false"/>
    </xf>
    <xf numFmtId="164" fontId="5" fillId="6" borderId="0" xfId="0" applyFont="true" applyBorder="true" applyAlignment="true" applyProtection="false">
      <alignment horizontal="left" vertical="center" textRotation="0" wrapText="false" indent="0" shrinkToFit="false"/>
      <protection locked="true" hidden="false"/>
    </xf>
    <xf numFmtId="164" fontId="27" fillId="0" borderId="2" xfId="0" applyFont="true" applyBorder="true" applyAlignment="true" applyProtection="false">
      <alignment horizontal="general" vertical="bottom" textRotation="0" wrapText="false" indent="0" shrinkToFit="false"/>
      <protection locked="true" hidden="false"/>
    </xf>
    <xf numFmtId="164" fontId="5" fillId="8" borderId="0" xfId="0" applyFont="true" applyBorder="true" applyAlignment="true" applyProtection="false">
      <alignment horizontal="left" vertical="center" textRotation="0" wrapText="false" indent="0" shrinkToFit="false"/>
      <protection locked="true" hidden="false"/>
    </xf>
    <xf numFmtId="164" fontId="5" fillId="9" borderId="0" xfId="0" applyFont="true" applyBorder="true" applyAlignment="true" applyProtection="false">
      <alignment horizontal="left" vertical="center" textRotation="0" wrapText="false" indent="0" shrinkToFit="false"/>
      <protection locked="true" hidden="false"/>
    </xf>
    <xf numFmtId="165" fontId="8" fillId="12" borderId="10" xfId="0" applyFont="true" applyBorder="true" applyAlignment="true" applyProtection="false">
      <alignment horizontal="general" vertical="bottom" textRotation="0" wrapText="false" indent="0" shrinkToFit="false"/>
      <protection locked="true" hidden="false"/>
    </xf>
    <xf numFmtId="164" fontId="9" fillId="12"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006100"/>
      </font>
      <fill>
        <patternFill>
          <bgColor rgb="FFC6EFCE"/>
        </patternFill>
      </fill>
    </dxf>
    <dxf>
      <font>
        <name val="Arial"/>
        <charset val="1"/>
        <family val="0"/>
        <b val="1"/>
        <color rgb="FF9C0006"/>
      </font>
      <fill>
        <patternFill>
          <bgColor rgb="FFFFC7CE"/>
        </patternFill>
      </fill>
    </dxf>
    <dxf>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6A1B9A"/>
      <rgbColor rgb="FF008080"/>
      <rgbColor rgb="FFBFBFBF"/>
      <rgbColor rgb="FF808080"/>
      <rgbColor rgb="FF729FCF"/>
      <rgbColor rgb="FFAB47BC"/>
      <rgbColor rgb="FFFFF2CC"/>
      <rgbColor rgb="FFDDE8F3"/>
      <rgbColor rgb="FF660066"/>
      <rgbColor rgb="FFF7F7F7"/>
      <rgbColor rgb="FF0066CC"/>
      <rgbColor rgb="FFE1BEE7"/>
      <rgbColor rgb="FF000080"/>
      <rgbColor rgb="FFFF00FF"/>
      <rgbColor rgb="FFEDEDED"/>
      <rgbColor rgb="FF00FFFF"/>
      <rgbColor rgb="FF800080"/>
      <rgbColor rgb="FF800000"/>
      <rgbColor rgb="FF008080"/>
      <rgbColor rgb="FF0000FF"/>
      <rgbColor rgb="FF00CCFF"/>
      <rgbColor rgb="FFB2EBF2"/>
      <rgbColor rgb="FFC6EFCE"/>
      <rgbColor rgb="FFFFFBEA"/>
      <rgbColor rgb="FFB4C7DC"/>
      <rgbColor rgb="FFFFC7CE"/>
      <rgbColor rgb="FFFFD7D7"/>
      <rgbColor rgb="FFFFE0B2"/>
      <rgbColor rgb="FF3366FF"/>
      <rgbColor rgb="FF33CCCC"/>
      <rgbColor rgb="FFC8E6C9"/>
      <rgbColor rgb="FFF2F2F2"/>
      <rgbColor rgb="FFFF9900"/>
      <rgbColor rgb="FFFF6600"/>
      <rgbColor rgb="FF595959"/>
      <rgbColor rgb="FF7F7F7F"/>
      <rgbColor rgb="FF003366"/>
      <rgbColor rgb="FF2E7D32"/>
      <rgbColor rgb="FF003300"/>
      <rgbColor rgb="FF333300"/>
      <rgbColor rgb="FF993300"/>
      <rgbColor rgb="FFD62E4E"/>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04040"/>
    <pageSetUpPr fitToPage="true"/>
  </sheetPr>
  <dimension ref="B1:F6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5" min="3" style="1" width="20"/>
    <col collapsed="false" customWidth="true" hidden="false" outlineLevel="0" max="6" min="6" style="1" width="30"/>
    <col collapsed="false" customWidth="true" hidden="false" outlineLevel="0" max="7" min="7" style="1" width="2"/>
  </cols>
  <sheetData>
    <row r="1" customFormat="false" ht="17.25" hidden="false" customHeight="true" outlineLevel="0" collapsed="false">
      <c r="B1" s="2" t="s">
        <v>0</v>
      </c>
      <c r="C1" s="2"/>
      <c r="D1" s="2"/>
      <c r="E1" s="2"/>
      <c r="F1" s="2"/>
    </row>
    <row r="3" customFormat="false" ht="15" hidden="false" customHeight="true" outlineLevel="0" collapsed="false">
      <c r="B3" s="3" t="s">
        <v>1</v>
      </c>
      <c r="C3" s="4" t="s">
        <v>2</v>
      </c>
      <c r="D3" s="5" t="s">
        <v>3</v>
      </c>
    </row>
    <row r="4" customFormat="false" ht="15" hidden="false" customHeight="true" outlineLevel="0" collapsed="false">
      <c r="B4" s="3" t="s">
        <v>4</v>
      </c>
      <c r="C4" s="4" t="s">
        <v>5</v>
      </c>
    </row>
    <row r="5" customFormat="false" ht="15" hidden="false" customHeight="true" outlineLevel="0" collapsed="false">
      <c r="B5" s="3" t="s">
        <v>6</v>
      </c>
      <c r="C5" s="4" t="s">
        <v>7</v>
      </c>
    </row>
    <row r="7" customFormat="false" ht="15" hidden="false" customHeight="true" outlineLevel="0" collapsed="false">
      <c r="B7" s="6" t="s">
        <v>8</v>
      </c>
      <c r="C7" s="6"/>
      <c r="D7" s="6"/>
      <c r="E7" s="6"/>
      <c r="F7" s="6"/>
    </row>
    <row r="8" customFormat="false" ht="25.5" hidden="false" customHeight="true" outlineLevel="0" collapsed="false">
      <c r="B8" s="7" t="s">
        <v>9</v>
      </c>
      <c r="C8" s="7"/>
      <c r="D8" s="7"/>
      <c r="E8" s="7"/>
      <c r="F8" s="7"/>
    </row>
    <row r="9" customFormat="false" ht="25.5" hidden="false" customHeight="true" outlineLevel="0" collapsed="false">
      <c r="B9" s="7" t="s">
        <v>10</v>
      </c>
      <c r="C9" s="7"/>
      <c r="D9" s="7"/>
      <c r="E9" s="7"/>
      <c r="F9" s="7"/>
    </row>
    <row r="10" customFormat="false" ht="25.5" hidden="false" customHeight="true" outlineLevel="0" collapsed="false">
      <c r="B10" s="7" t="s">
        <v>11</v>
      </c>
      <c r="C10" s="7"/>
      <c r="D10" s="7"/>
      <c r="E10" s="7"/>
      <c r="F10" s="7"/>
    </row>
    <row r="11" customFormat="false" ht="25.5" hidden="false" customHeight="true" outlineLevel="0" collapsed="false">
      <c r="B11" s="7" t="s">
        <v>12</v>
      </c>
      <c r="C11" s="7"/>
      <c r="D11" s="7"/>
      <c r="E11" s="7"/>
      <c r="F11" s="7"/>
    </row>
    <row r="12" customFormat="false" ht="25.5" hidden="false" customHeight="true" outlineLevel="0" collapsed="false">
      <c r="B12" s="7" t="s">
        <v>13</v>
      </c>
      <c r="C12" s="7"/>
      <c r="D12" s="7"/>
      <c r="E12" s="7"/>
      <c r="F12" s="7"/>
    </row>
    <row r="13" customFormat="false" ht="25.5" hidden="false" customHeight="true" outlineLevel="0" collapsed="false">
      <c r="B13" s="7" t="s">
        <v>14</v>
      </c>
      <c r="C13" s="7"/>
      <c r="D13" s="7"/>
      <c r="E13" s="7"/>
      <c r="F13" s="7"/>
    </row>
    <row r="14" customFormat="false" ht="25.5" hidden="false" customHeight="true" outlineLevel="0" collapsed="false">
      <c r="B14" s="7" t="s">
        <v>15</v>
      </c>
      <c r="C14" s="7"/>
      <c r="D14" s="7"/>
      <c r="E14" s="7"/>
      <c r="F14" s="7"/>
    </row>
    <row r="16" customFormat="false" ht="15" hidden="false" customHeight="true" outlineLevel="0" collapsed="false">
      <c r="B16" s="6" t="s">
        <v>16</v>
      </c>
      <c r="C16" s="6"/>
      <c r="D16" s="6"/>
      <c r="E16" s="6"/>
      <c r="F16" s="6"/>
    </row>
    <row r="17" customFormat="false" ht="15" hidden="false" customHeight="true" outlineLevel="0" collapsed="false">
      <c r="B17" s="8" t="s">
        <v>17</v>
      </c>
      <c r="C17" s="9" t="s">
        <v>18</v>
      </c>
      <c r="D17" s="9"/>
      <c r="E17" s="9"/>
      <c r="F17" s="9"/>
    </row>
    <row r="18" customFormat="false" ht="15" hidden="false" customHeight="true" outlineLevel="0" collapsed="false">
      <c r="B18" s="10" t="s">
        <v>17</v>
      </c>
      <c r="C18" s="9" t="s">
        <v>19</v>
      </c>
      <c r="D18" s="9"/>
      <c r="E18" s="9"/>
      <c r="F18" s="9"/>
    </row>
    <row r="19" customFormat="false" ht="15" hidden="false" customHeight="true" outlineLevel="0" collapsed="false">
      <c r="B19" s="11" t="s">
        <v>20</v>
      </c>
      <c r="C19" s="9" t="s">
        <v>21</v>
      </c>
      <c r="D19" s="9"/>
      <c r="E19" s="9"/>
      <c r="F19" s="9"/>
    </row>
    <row r="20" customFormat="false" ht="15" hidden="false" customHeight="true" outlineLevel="0" collapsed="false">
      <c r="B20" s="12" t="s">
        <v>22</v>
      </c>
      <c r="C20" s="9" t="s">
        <v>23</v>
      </c>
      <c r="D20" s="9"/>
      <c r="E20" s="9"/>
      <c r="F20" s="9"/>
    </row>
    <row r="21" customFormat="false" ht="15" hidden="false" customHeight="true" outlineLevel="0" collapsed="false">
      <c r="B21" s="13" t="s">
        <v>24</v>
      </c>
      <c r="C21" s="9" t="s">
        <v>25</v>
      </c>
      <c r="D21" s="9"/>
      <c r="E21" s="9"/>
      <c r="F21" s="9"/>
    </row>
    <row r="22" customFormat="false" ht="15" hidden="false" customHeight="true" outlineLevel="0" collapsed="false">
      <c r="B22" s="14" t="s">
        <v>22</v>
      </c>
      <c r="C22" s="9" t="s">
        <v>26</v>
      </c>
      <c r="D22" s="9"/>
      <c r="E22" s="9"/>
      <c r="F22" s="9"/>
    </row>
    <row r="23" customFormat="false" ht="15" hidden="false" customHeight="true" outlineLevel="0" collapsed="false">
      <c r="B23" s="15" t="s">
        <v>22</v>
      </c>
      <c r="C23" s="9" t="s">
        <v>27</v>
      </c>
      <c r="D23" s="9"/>
      <c r="E23" s="9"/>
      <c r="F23" s="9"/>
    </row>
    <row r="24" customFormat="false" ht="15" hidden="false" customHeight="true" outlineLevel="0" collapsed="false">
      <c r="B24" s="16" t="s">
        <v>28</v>
      </c>
      <c r="C24" s="9" t="s">
        <v>29</v>
      </c>
      <c r="D24" s="9"/>
      <c r="E24" s="9"/>
      <c r="F24" s="9"/>
    </row>
    <row r="25" customFormat="false" ht="15" hidden="false" customHeight="true" outlineLevel="0" collapsed="false">
      <c r="B25" s="17" t="s">
        <v>30</v>
      </c>
      <c r="C25" s="9" t="s">
        <v>31</v>
      </c>
      <c r="D25" s="9"/>
      <c r="E25" s="9"/>
      <c r="F25" s="9"/>
    </row>
    <row r="26" customFormat="false" ht="15" hidden="false" customHeight="true" outlineLevel="0" collapsed="false">
      <c r="B26" s="18" t="s">
        <v>32</v>
      </c>
      <c r="C26" s="9" t="s">
        <v>33</v>
      </c>
      <c r="D26" s="9"/>
      <c r="E26" s="9"/>
      <c r="F26" s="9"/>
    </row>
    <row r="27" customFormat="false" ht="15" hidden="false" customHeight="true" outlineLevel="0" collapsed="false">
      <c r="B27" s="19" t="s">
        <v>34</v>
      </c>
      <c r="C27" s="9" t="s">
        <v>35</v>
      </c>
      <c r="D27" s="9"/>
      <c r="E27" s="9"/>
      <c r="F27" s="9"/>
    </row>
    <row r="28" customFormat="false" ht="15" hidden="false" customHeight="true" outlineLevel="0" collapsed="false">
      <c r="B28" s="20" t="s">
        <v>36</v>
      </c>
      <c r="C28" s="9" t="s">
        <v>37</v>
      </c>
      <c r="D28" s="9"/>
      <c r="E28" s="9"/>
      <c r="F28" s="9"/>
    </row>
    <row r="30" customFormat="false" ht="15" hidden="false" customHeight="true" outlineLevel="0" collapsed="false">
      <c r="B30" s="6" t="s">
        <v>38</v>
      </c>
      <c r="C30" s="6"/>
      <c r="D30" s="6"/>
      <c r="E30" s="6"/>
      <c r="F30" s="6"/>
    </row>
    <row r="31" customFormat="false" ht="15" hidden="false" customHeight="true" outlineLevel="0" collapsed="false">
      <c r="B31" s="21" t="s">
        <v>39</v>
      </c>
      <c r="C31" s="21" t="s">
        <v>40</v>
      </c>
      <c r="D31" s="21" t="s">
        <v>41</v>
      </c>
      <c r="E31" s="21" t="s">
        <v>42</v>
      </c>
      <c r="F31" s="21" t="s">
        <v>43</v>
      </c>
    </row>
    <row r="32" customFormat="false" ht="15" hidden="false" customHeight="true" outlineLevel="0" collapsed="false">
      <c r="B32" s="3" t="s">
        <v>20</v>
      </c>
      <c r="C32" s="22" t="s">
        <v>44</v>
      </c>
      <c r="D32" s="22" t="s">
        <v>45</v>
      </c>
      <c r="E32" s="22" t="s">
        <v>46</v>
      </c>
      <c r="F32" s="22" t="s">
        <v>47</v>
      </c>
    </row>
    <row r="33" customFormat="false" ht="15" hidden="false" customHeight="true" outlineLevel="0" collapsed="false">
      <c r="B33" s="3" t="s">
        <v>48</v>
      </c>
      <c r="C33" s="22" t="s">
        <v>49</v>
      </c>
      <c r="D33" s="22" t="s">
        <v>46</v>
      </c>
      <c r="E33" s="22" t="s">
        <v>49</v>
      </c>
      <c r="F33" s="22" t="s">
        <v>50</v>
      </c>
    </row>
    <row r="34" customFormat="false" ht="15" hidden="false" customHeight="true" outlineLevel="0" collapsed="false">
      <c r="B34" s="3" t="s">
        <v>51</v>
      </c>
      <c r="C34" s="22" t="s">
        <v>49</v>
      </c>
      <c r="D34" s="22" t="s">
        <v>46</v>
      </c>
      <c r="E34" s="22" t="s">
        <v>49</v>
      </c>
      <c r="F34" s="22" t="s">
        <v>52</v>
      </c>
    </row>
    <row r="35" customFormat="false" ht="15" hidden="false" customHeight="true" outlineLevel="0" collapsed="false">
      <c r="B35" s="3" t="s">
        <v>53</v>
      </c>
      <c r="C35" s="22" t="s">
        <v>49</v>
      </c>
      <c r="D35" s="22" t="s">
        <v>46</v>
      </c>
      <c r="E35" s="22" t="s">
        <v>49</v>
      </c>
      <c r="F35" s="22" t="s">
        <v>54</v>
      </c>
    </row>
    <row r="36" customFormat="false" ht="15" hidden="false" customHeight="true" outlineLevel="0" collapsed="false">
      <c r="B36" s="3" t="s">
        <v>55</v>
      </c>
      <c r="C36" s="22" t="s">
        <v>49</v>
      </c>
      <c r="D36" s="22"/>
      <c r="E36" s="22" t="s">
        <v>49</v>
      </c>
      <c r="F36" s="22" t="s">
        <v>56</v>
      </c>
    </row>
    <row r="37" customFormat="false" ht="15" hidden="false" customHeight="true" outlineLevel="0" collapsed="false">
      <c r="B37" s="3" t="s">
        <v>57</v>
      </c>
      <c r="C37" s="22" t="s">
        <v>46</v>
      </c>
      <c r="D37" s="22"/>
      <c r="E37" s="22" t="s">
        <v>46</v>
      </c>
      <c r="F37" s="22" t="s">
        <v>58</v>
      </c>
    </row>
    <row r="38" customFormat="false" ht="15" hidden="false" customHeight="true" outlineLevel="0" collapsed="false">
      <c r="B38" s="23" t="s">
        <v>59</v>
      </c>
      <c r="C38" s="23"/>
      <c r="D38" s="23"/>
      <c r="E38" s="23"/>
      <c r="F38" s="23"/>
    </row>
    <row r="39" customFormat="false" ht="15" hidden="false" customHeight="true" outlineLevel="0" collapsed="false">
      <c r="B39" s="23" t="s">
        <v>60</v>
      </c>
      <c r="C39" s="23"/>
      <c r="D39" s="23"/>
      <c r="E39" s="23"/>
      <c r="F39" s="23"/>
    </row>
    <row r="40" customFormat="false" ht="15" hidden="false" customHeight="true" outlineLevel="0" collapsed="false">
      <c r="B40" s="23" t="s">
        <v>61</v>
      </c>
      <c r="C40" s="23"/>
      <c r="D40" s="23"/>
      <c r="E40" s="23"/>
      <c r="F40" s="23"/>
    </row>
    <row r="42" customFormat="false" ht="15" hidden="false" customHeight="true" outlineLevel="0" collapsed="false">
      <c r="B42" s="6" t="s">
        <v>62</v>
      </c>
      <c r="C42" s="6"/>
      <c r="D42" s="6"/>
      <c r="E42" s="6"/>
      <c r="F42" s="6"/>
    </row>
    <row r="43" customFormat="false" ht="15" hidden="false" customHeight="true" outlineLevel="0" collapsed="false">
      <c r="B43" s="21" t="s">
        <v>63</v>
      </c>
      <c r="C43" s="21" t="s">
        <v>64</v>
      </c>
      <c r="D43" s="21" t="s">
        <v>65</v>
      </c>
      <c r="E43" s="21" t="s">
        <v>66</v>
      </c>
      <c r="F43" s="21" t="s">
        <v>67</v>
      </c>
    </row>
    <row r="44" customFormat="false" ht="15" hidden="false" customHeight="true" outlineLevel="0" collapsed="false">
      <c r="B44" s="22" t="s">
        <v>68</v>
      </c>
      <c r="C44" s="24" t="n">
        <v>10000</v>
      </c>
      <c r="D44" s="24"/>
      <c r="E44" s="22" t="s">
        <v>69</v>
      </c>
      <c r="F44" s="22" t="s">
        <v>70</v>
      </c>
    </row>
    <row r="45" customFormat="false" ht="15" hidden="false" customHeight="true" outlineLevel="0" collapsed="false">
      <c r="B45" s="22" t="s">
        <v>71</v>
      </c>
      <c r="C45" s="24"/>
      <c r="D45" s="24" t="n">
        <v>10000</v>
      </c>
      <c r="E45" s="22" t="s">
        <v>72</v>
      </c>
      <c r="F45" s="22"/>
    </row>
    <row r="47" customFormat="false" ht="15" hidden="false" customHeight="true" outlineLevel="0" collapsed="false">
      <c r="B47" s="6" t="s">
        <v>73</v>
      </c>
      <c r="C47" s="6"/>
      <c r="D47" s="6"/>
      <c r="E47" s="6"/>
      <c r="F47" s="6"/>
    </row>
    <row r="48" customFormat="false" ht="25.5" hidden="false" customHeight="true" outlineLevel="0" collapsed="false">
      <c r="B48" s="25" t="s">
        <v>74</v>
      </c>
      <c r="C48" s="7" t="s">
        <v>75</v>
      </c>
      <c r="D48" s="7"/>
      <c r="E48" s="7"/>
      <c r="F48" s="7"/>
    </row>
    <row r="49" customFormat="false" ht="25.5" hidden="false" customHeight="true" outlineLevel="0" collapsed="false">
      <c r="B49" s="26" t="s">
        <v>76</v>
      </c>
      <c r="C49" s="7" t="s">
        <v>77</v>
      </c>
      <c r="D49" s="7"/>
      <c r="E49" s="7"/>
      <c r="F49" s="7"/>
    </row>
    <row r="50" customFormat="false" ht="25.5" hidden="false" customHeight="true" outlineLevel="0" collapsed="false">
      <c r="B50" s="27" t="s">
        <v>78</v>
      </c>
      <c r="C50" s="7" t="s">
        <v>79</v>
      </c>
      <c r="D50" s="7"/>
      <c r="E50" s="7"/>
      <c r="F50" s="7"/>
    </row>
    <row r="51" customFormat="false" ht="25.5" hidden="false" customHeight="true" outlineLevel="0" collapsed="false">
      <c r="B51" s="28" t="s">
        <v>80</v>
      </c>
      <c r="C51" s="7" t="s">
        <v>81</v>
      </c>
      <c r="D51" s="7"/>
      <c r="E51" s="7"/>
      <c r="F51" s="7"/>
    </row>
    <row r="52" customFormat="false" ht="25.5" hidden="false" customHeight="true" outlineLevel="0" collapsed="false">
      <c r="B52" s="28" t="s">
        <v>82</v>
      </c>
      <c r="C52" s="7" t="s">
        <v>83</v>
      </c>
      <c r="D52" s="7"/>
      <c r="E52" s="7"/>
      <c r="F52" s="7"/>
    </row>
    <row r="54" customFormat="false" ht="15" hidden="false" customHeight="true" outlineLevel="0" collapsed="false">
      <c r="B54" s="6" t="s">
        <v>84</v>
      </c>
      <c r="C54" s="6"/>
      <c r="D54" s="6"/>
      <c r="E54" s="6"/>
      <c r="F54" s="6"/>
    </row>
    <row r="55" customFormat="false" ht="25.5" hidden="false" customHeight="true" outlineLevel="0" collapsed="false">
      <c r="B55" s="3" t="s">
        <v>85</v>
      </c>
      <c r="C55" s="7" t="s">
        <v>86</v>
      </c>
      <c r="D55" s="7"/>
      <c r="E55" s="7"/>
      <c r="F55" s="7"/>
    </row>
    <row r="56" customFormat="false" ht="25.5" hidden="false" customHeight="true" outlineLevel="0" collapsed="false">
      <c r="B56" s="3" t="s">
        <v>87</v>
      </c>
      <c r="C56" s="7" t="s">
        <v>88</v>
      </c>
      <c r="D56" s="7"/>
      <c r="E56" s="7"/>
      <c r="F56" s="7"/>
    </row>
    <row r="57" customFormat="false" ht="25.5" hidden="false" customHeight="true" outlineLevel="0" collapsed="false">
      <c r="B57" s="3" t="s">
        <v>89</v>
      </c>
      <c r="C57" s="7" t="s">
        <v>90</v>
      </c>
      <c r="D57" s="7"/>
      <c r="E57" s="7"/>
      <c r="F57" s="7"/>
    </row>
    <row r="58" customFormat="false" ht="25.5" hidden="false" customHeight="true" outlineLevel="0" collapsed="false">
      <c r="B58" s="3" t="s">
        <v>91</v>
      </c>
      <c r="C58" s="7" t="s">
        <v>92</v>
      </c>
      <c r="D58" s="7"/>
      <c r="E58" s="7"/>
      <c r="F58" s="7"/>
    </row>
    <row r="59" customFormat="false" ht="25.5" hidden="false" customHeight="true" outlineLevel="0" collapsed="false">
      <c r="B59" s="3" t="s">
        <v>93</v>
      </c>
      <c r="C59" s="7" t="s">
        <v>94</v>
      </c>
      <c r="D59" s="7"/>
      <c r="E59" s="7"/>
      <c r="F59" s="7"/>
    </row>
    <row r="60" customFormat="false" ht="25.5" hidden="false" customHeight="true" outlineLevel="0" collapsed="false">
      <c r="B60" s="3" t="s">
        <v>95</v>
      </c>
      <c r="C60" s="7" t="s">
        <v>96</v>
      </c>
      <c r="D60" s="7"/>
      <c r="E60" s="7"/>
      <c r="F60" s="7"/>
    </row>
    <row r="62" customFormat="false" ht="15" hidden="false" customHeight="true" outlineLevel="0" collapsed="false">
      <c r="B62" s="6" t="s">
        <v>97</v>
      </c>
      <c r="C62" s="6"/>
      <c r="D62" s="6"/>
      <c r="E62" s="6"/>
      <c r="F62" s="6"/>
    </row>
    <row r="63" customFormat="false" ht="30" hidden="false" customHeight="true" outlineLevel="0" collapsed="false">
      <c r="B63" s="3" t="s">
        <v>98</v>
      </c>
      <c r="C63" s="7" t="s">
        <v>99</v>
      </c>
      <c r="D63" s="7"/>
      <c r="E63" s="7"/>
      <c r="F63" s="7"/>
    </row>
    <row r="64" customFormat="false" ht="30" hidden="false" customHeight="true" outlineLevel="0" collapsed="false">
      <c r="B64" s="3" t="s">
        <v>100</v>
      </c>
      <c r="C64" s="7" t="s">
        <v>101</v>
      </c>
      <c r="D64" s="7"/>
      <c r="E64" s="7"/>
      <c r="F64" s="7"/>
    </row>
    <row r="65" customFormat="false" ht="30" hidden="false" customHeight="true" outlineLevel="0" collapsed="false">
      <c r="B65" s="3" t="s">
        <v>102</v>
      </c>
      <c r="C65" s="7" t="s">
        <v>103</v>
      </c>
      <c r="D65" s="7"/>
      <c r="E65" s="7"/>
      <c r="F65" s="7"/>
    </row>
    <row r="66" customFormat="false" ht="30" hidden="false" customHeight="true" outlineLevel="0" collapsed="false">
      <c r="B66" s="3" t="s">
        <v>104</v>
      </c>
      <c r="C66" s="7" t="s">
        <v>105</v>
      </c>
      <c r="D66" s="7"/>
      <c r="E66" s="7"/>
      <c r="F66" s="7"/>
    </row>
  </sheetData>
  <mergeCells count="45">
    <mergeCell ref="B1:F1"/>
    <mergeCell ref="B7:F7"/>
    <mergeCell ref="B8:F8"/>
    <mergeCell ref="B9:F9"/>
    <mergeCell ref="B10:F10"/>
    <mergeCell ref="B11:F11"/>
    <mergeCell ref="B12:F12"/>
    <mergeCell ref="B13:F13"/>
    <mergeCell ref="B14:F14"/>
    <mergeCell ref="B16:F16"/>
    <mergeCell ref="C17:F17"/>
    <mergeCell ref="C18:F18"/>
    <mergeCell ref="C19:F19"/>
    <mergeCell ref="C20:F20"/>
    <mergeCell ref="C21:F21"/>
    <mergeCell ref="C22:F22"/>
    <mergeCell ref="C23:F23"/>
    <mergeCell ref="C24:F24"/>
    <mergeCell ref="C25:F25"/>
    <mergeCell ref="C26:F26"/>
    <mergeCell ref="C27:F27"/>
    <mergeCell ref="C28:F28"/>
    <mergeCell ref="B30:F30"/>
    <mergeCell ref="B38:F38"/>
    <mergeCell ref="B39:F39"/>
    <mergeCell ref="B40:F40"/>
    <mergeCell ref="B42:F42"/>
    <mergeCell ref="B47:F47"/>
    <mergeCell ref="C48:F48"/>
    <mergeCell ref="C49:F49"/>
    <mergeCell ref="C50:F50"/>
    <mergeCell ref="C51:F51"/>
    <mergeCell ref="C52:F52"/>
    <mergeCell ref="B54:F54"/>
    <mergeCell ref="C55:F55"/>
    <mergeCell ref="C56:F56"/>
    <mergeCell ref="C57:F57"/>
    <mergeCell ref="C58:F58"/>
    <mergeCell ref="C59:F59"/>
    <mergeCell ref="C60:F60"/>
    <mergeCell ref="B62:F62"/>
    <mergeCell ref="C63:F63"/>
    <mergeCell ref="C64:F64"/>
    <mergeCell ref="C65:F65"/>
    <mergeCell ref="C66:F6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B1:E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4" min="3" style="0" width="34"/>
    <col collapsed="false" customWidth="true" hidden="false" outlineLevel="0" max="5" min="5" style="0" width="70"/>
    <col collapsed="false" customWidth="true" hidden="false" outlineLevel="0" max="6" min="6" style="0" width="2"/>
  </cols>
  <sheetData>
    <row r="1" customFormat="false" ht="17.35" hidden="false" customHeight="false" outlineLevel="0" collapsed="false">
      <c r="B1" s="29" t="s">
        <v>106</v>
      </c>
      <c r="C1" s="29"/>
      <c r="D1" s="29"/>
      <c r="E1" s="29"/>
    </row>
    <row r="3" customFormat="false" ht="15" hidden="false" customHeight="false" outlineLevel="0" collapsed="false">
      <c r="B3" s="30" t="s">
        <v>107</v>
      </c>
      <c r="C3" s="30"/>
      <c r="D3" s="30"/>
      <c r="E3" s="30"/>
    </row>
    <row r="4" customFormat="false" ht="31.5" hidden="false" customHeight="true" outlineLevel="0" collapsed="false">
      <c r="B4" s="31" t="s">
        <v>108</v>
      </c>
      <c r="C4" s="31"/>
      <c r="D4" s="31"/>
      <c r="E4" s="31"/>
    </row>
    <row r="6" customFormat="false" ht="15" hidden="false" customHeight="false" outlineLevel="0" collapsed="false">
      <c r="B6" s="30" t="s">
        <v>109</v>
      </c>
      <c r="C6" s="30"/>
      <c r="D6" s="30"/>
      <c r="E6" s="30"/>
    </row>
    <row r="7" customFormat="false" ht="15" hidden="false" customHeight="false" outlineLevel="0" collapsed="false">
      <c r="B7" s="32"/>
      <c r="C7" s="32" t="s">
        <v>110</v>
      </c>
      <c r="D7" s="32" t="s">
        <v>111</v>
      </c>
      <c r="E7" s="32" t="s">
        <v>112</v>
      </c>
    </row>
    <row r="8" customFormat="false" ht="15" hidden="false" customHeight="false" outlineLevel="0" collapsed="false">
      <c r="C8" s="33" t="s">
        <v>113</v>
      </c>
      <c r="D8" s="34" t="s">
        <v>114</v>
      </c>
      <c r="E8" s="35" t="s">
        <v>115</v>
      </c>
    </row>
    <row r="9" customFormat="false" ht="15" hidden="false" customHeight="false" outlineLevel="0" collapsed="false">
      <c r="C9" s="33" t="s">
        <v>116</v>
      </c>
      <c r="D9" s="34" t="s">
        <v>117</v>
      </c>
      <c r="E9" s="35" t="s">
        <v>118</v>
      </c>
    </row>
    <row r="10" customFormat="false" ht="15" hidden="false" customHeight="false" outlineLevel="0" collapsed="false">
      <c r="C10" s="33" t="s">
        <v>119</v>
      </c>
      <c r="D10" s="34" t="s">
        <v>120</v>
      </c>
      <c r="E10" s="35" t="s">
        <v>121</v>
      </c>
    </row>
    <row r="11" customFormat="false" ht="15" hidden="false" customHeight="false" outlineLevel="0" collapsed="false">
      <c r="C11" s="33" t="s">
        <v>122</v>
      </c>
      <c r="D11" s="34" t="s">
        <v>123</v>
      </c>
      <c r="E11" s="35" t="s">
        <v>124</v>
      </c>
    </row>
    <row r="12" customFormat="false" ht="15.75" hidden="false" customHeight="true" outlineLevel="0" collapsed="false">
      <c r="B12" s="31" t="s">
        <v>125</v>
      </c>
      <c r="C12" s="31"/>
      <c r="D12" s="31"/>
      <c r="E12" s="31"/>
    </row>
    <row r="14" customFormat="false" ht="15" hidden="false" customHeight="false" outlineLevel="0" collapsed="false">
      <c r="B14" s="30" t="s">
        <v>126</v>
      </c>
      <c r="C14" s="30"/>
      <c r="D14" s="30"/>
      <c r="E14" s="30"/>
    </row>
    <row r="15" customFormat="false" ht="54.75" hidden="false" customHeight="true" outlineLevel="0" collapsed="false">
      <c r="B15" s="31" t="s">
        <v>127</v>
      </c>
      <c r="C15" s="31"/>
      <c r="D15" s="31"/>
      <c r="E15" s="31"/>
    </row>
    <row r="16" customFormat="false" ht="15" hidden="false" customHeight="false" outlineLevel="0" collapsed="false">
      <c r="B16" s="32"/>
      <c r="C16" s="32" t="s">
        <v>128</v>
      </c>
      <c r="D16" s="32" t="s">
        <v>129</v>
      </c>
      <c r="E16" s="32" t="s">
        <v>130</v>
      </c>
    </row>
    <row r="17" customFormat="false" ht="36" hidden="false" customHeight="true" outlineLevel="0" collapsed="false">
      <c r="C17" s="36" t="s">
        <v>131</v>
      </c>
      <c r="D17" s="36" t="s">
        <v>132</v>
      </c>
      <c r="E17" s="36" t="s">
        <v>133</v>
      </c>
    </row>
    <row r="18" customFormat="false" ht="36" hidden="false" customHeight="true" outlineLevel="0" collapsed="false">
      <c r="C18" s="36" t="s">
        <v>134</v>
      </c>
      <c r="D18" s="36" t="s">
        <v>135</v>
      </c>
      <c r="E18" s="36" t="s">
        <v>136</v>
      </c>
    </row>
    <row r="19" customFormat="false" ht="36" hidden="false" customHeight="true" outlineLevel="0" collapsed="false">
      <c r="C19" s="36" t="s">
        <v>137</v>
      </c>
      <c r="D19" s="36" t="s">
        <v>138</v>
      </c>
      <c r="E19" s="36" t="s">
        <v>139</v>
      </c>
    </row>
    <row r="20" customFormat="false" ht="36" hidden="false" customHeight="true" outlineLevel="0" collapsed="false">
      <c r="C20" s="36" t="s">
        <v>140</v>
      </c>
      <c r="D20" s="36" t="s">
        <v>141</v>
      </c>
      <c r="E20" s="36" t="s">
        <v>142</v>
      </c>
    </row>
    <row r="21" customFormat="false" ht="36" hidden="false" customHeight="true" outlineLevel="0" collapsed="false">
      <c r="C21" s="36" t="s">
        <v>143</v>
      </c>
      <c r="D21" s="36" t="s">
        <v>144</v>
      </c>
      <c r="E21" s="36" t="s">
        <v>145</v>
      </c>
    </row>
    <row r="22" customFormat="false" ht="36" hidden="false" customHeight="true" outlineLevel="0" collapsed="false">
      <c r="C22" s="36" t="s">
        <v>146</v>
      </c>
      <c r="D22" s="36" t="s">
        <v>147</v>
      </c>
      <c r="E22" s="36" t="s">
        <v>148</v>
      </c>
    </row>
    <row r="23" customFormat="false" ht="36" hidden="false" customHeight="true" outlineLevel="0" collapsed="false">
      <c r="C23" s="36" t="s">
        <v>149</v>
      </c>
      <c r="D23" s="36" t="s">
        <v>150</v>
      </c>
      <c r="E23" s="36" t="s">
        <v>151</v>
      </c>
    </row>
    <row r="25" customFormat="false" ht="15" hidden="false" customHeight="false" outlineLevel="0" collapsed="false">
      <c r="B25" s="30" t="s">
        <v>152</v>
      </c>
      <c r="C25" s="30"/>
      <c r="D25" s="30"/>
      <c r="E25" s="30"/>
    </row>
    <row r="26" customFormat="false" ht="27.75" hidden="false" customHeight="true" outlineLevel="0" collapsed="false">
      <c r="B26" s="31" t="s">
        <v>153</v>
      </c>
      <c r="C26" s="31"/>
      <c r="D26" s="31"/>
      <c r="E26" s="31"/>
    </row>
    <row r="27" customFormat="false" ht="27.75" hidden="false" customHeight="true" outlineLevel="0" collapsed="false">
      <c r="B27" s="31" t="s">
        <v>154</v>
      </c>
      <c r="C27" s="31"/>
      <c r="D27" s="31"/>
      <c r="E27" s="31"/>
    </row>
    <row r="28" customFormat="false" ht="27.75" hidden="false" customHeight="true" outlineLevel="0" collapsed="false">
      <c r="B28" s="31" t="s">
        <v>155</v>
      </c>
      <c r="C28" s="31"/>
      <c r="D28" s="31"/>
      <c r="E28" s="31"/>
    </row>
    <row r="29" customFormat="false" ht="27.75" hidden="false" customHeight="true" outlineLevel="0" collapsed="false">
      <c r="B29" s="31" t="s">
        <v>156</v>
      </c>
      <c r="C29" s="31"/>
      <c r="D29" s="31"/>
      <c r="E29" s="31"/>
    </row>
    <row r="30" customFormat="false" ht="27.75" hidden="false" customHeight="true" outlineLevel="0" collapsed="false">
      <c r="B30" s="31" t="s">
        <v>157</v>
      </c>
      <c r="C30" s="31"/>
      <c r="D30" s="31"/>
      <c r="E30" s="31"/>
    </row>
    <row r="31" customFormat="false" ht="27.75" hidden="false" customHeight="true" outlineLevel="0" collapsed="false">
      <c r="B31" s="31" t="s">
        <v>158</v>
      </c>
      <c r="C31" s="31"/>
      <c r="D31" s="31"/>
      <c r="E31" s="31"/>
    </row>
    <row r="32" customFormat="false" ht="27.75" hidden="false" customHeight="true" outlineLevel="0" collapsed="false">
      <c r="B32" s="31" t="s">
        <v>159</v>
      </c>
      <c r="C32" s="31"/>
      <c r="D32" s="31"/>
      <c r="E32" s="31"/>
    </row>
    <row r="33" customFormat="false" ht="27.75" hidden="false" customHeight="true" outlineLevel="0" collapsed="false">
      <c r="B33" s="31" t="s">
        <v>160</v>
      </c>
      <c r="C33" s="31"/>
      <c r="D33" s="31"/>
      <c r="E33" s="31"/>
    </row>
    <row r="34" customFormat="false" ht="27.75" hidden="false" customHeight="true" outlineLevel="0" collapsed="false">
      <c r="B34" s="31" t="s">
        <v>161</v>
      </c>
      <c r="C34" s="31"/>
      <c r="D34" s="31"/>
      <c r="E34" s="31"/>
    </row>
    <row r="36" customFormat="false" ht="15" hidden="false" customHeight="false" outlineLevel="0" collapsed="false">
      <c r="B36" s="30" t="s">
        <v>162</v>
      </c>
      <c r="C36" s="30"/>
      <c r="D36" s="30"/>
      <c r="E36" s="30"/>
    </row>
    <row r="37" customFormat="false" ht="30" hidden="false" customHeight="true" outlineLevel="0" collapsed="false">
      <c r="B37" s="31" t="s">
        <v>163</v>
      </c>
      <c r="C37" s="31"/>
      <c r="D37" s="31"/>
      <c r="E37" s="31"/>
    </row>
    <row r="38" customFormat="false" ht="30" hidden="false" customHeight="true" outlineLevel="0" collapsed="false">
      <c r="B38" s="31" t="s">
        <v>164</v>
      </c>
      <c r="C38" s="31"/>
      <c r="D38" s="31"/>
      <c r="E38" s="31"/>
    </row>
    <row r="39" customFormat="false" ht="30" hidden="false" customHeight="true" outlineLevel="0" collapsed="false">
      <c r="B39" s="31" t="s">
        <v>165</v>
      </c>
      <c r="C39" s="31"/>
      <c r="D39" s="31"/>
      <c r="E39" s="31"/>
    </row>
    <row r="41" customFormat="false" ht="15" hidden="false" customHeight="false" outlineLevel="0" collapsed="false">
      <c r="B41" s="30" t="s">
        <v>166</v>
      </c>
      <c r="C41" s="30"/>
      <c r="D41" s="30"/>
      <c r="E41" s="30"/>
    </row>
    <row r="42" customFormat="false" ht="27.75" hidden="false" customHeight="true" outlineLevel="0" collapsed="false">
      <c r="B42" s="31" t="s">
        <v>167</v>
      </c>
      <c r="C42" s="31"/>
      <c r="D42" s="31"/>
      <c r="E42" s="31"/>
    </row>
    <row r="43" customFormat="false" ht="27.75" hidden="false" customHeight="true" outlineLevel="0" collapsed="false">
      <c r="B43" s="31" t="s">
        <v>168</v>
      </c>
      <c r="C43" s="31"/>
      <c r="D43" s="31"/>
      <c r="E43" s="31"/>
    </row>
    <row r="44" customFormat="false" ht="27.75" hidden="false" customHeight="true" outlineLevel="0" collapsed="false">
      <c r="B44" s="31" t="s">
        <v>169</v>
      </c>
      <c r="C44" s="31"/>
      <c r="D44" s="31"/>
      <c r="E44" s="31"/>
    </row>
  </sheetData>
  <mergeCells count="25">
    <mergeCell ref="B1:E1"/>
    <mergeCell ref="B3:E3"/>
    <mergeCell ref="B4:E4"/>
    <mergeCell ref="B6:E6"/>
    <mergeCell ref="B12:E12"/>
    <mergeCell ref="B14:E14"/>
    <mergeCell ref="B15:E15"/>
    <mergeCell ref="B25:E25"/>
    <mergeCell ref="B26:E26"/>
    <mergeCell ref="B27:E27"/>
    <mergeCell ref="B28:E28"/>
    <mergeCell ref="B29:E29"/>
    <mergeCell ref="B30:E30"/>
    <mergeCell ref="B31:E31"/>
    <mergeCell ref="B32:E32"/>
    <mergeCell ref="B33:E33"/>
    <mergeCell ref="B34:E34"/>
    <mergeCell ref="B36:E36"/>
    <mergeCell ref="B37:E37"/>
    <mergeCell ref="B38:E38"/>
    <mergeCell ref="B39:E39"/>
    <mergeCell ref="B41:E41"/>
    <mergeCell ref="B42:E42"/>
    <mergeCell ref="B43:E43"/>
    <mergeCell ref="B44:E4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B1:K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7"/>
    <col collapsed="false" customWidth="true" hidden="false" outlineLevel="0" max="3" min="3" style="1" width="40"/>
    <col collapsed="false" customWidth="true" hidden="false" outlineLevel="0" max="4" min="4" style="1" width="36"/>
    <col collapsed="false" customWidth="true" hidden="false" outlineLevel="0" max="6" min="5" style="1" width="13"/>
    <col collapsed="false" customWidth="true" hidden="false" outlineLevel="0" max="9" min="7" style="1" width="11"/>
    <col collapsed="false" customWidth="true" hidden="false" outlineLevel="0" max="10" min="10" style="1" width="2"/>
    <col collapsed="false" customWidth="true" hidden="false" outlineLevel="0" max="11" min="11" style="1" width="70"/>
  </cols>
  <sheetData>
    <row r="1" customFormat="false" ht="17.25" hidden="false" customHeight="true" outlineLevel="0" collapsed="false">
      <c r="B1" s="2" t="s">
        <v>170</v>
      </c>
      <c r="C1" s="2"/>
      <c r="D1" s="2"/>
      <c r="E1" s="2"/>
      <c r="F1" s="2"/>
      <c r="G1" s="2"/>
      <c r="H1" s="2"/>
      <c r="I1" s="2"/>
    </row>
    <row r="2" customFormat="false" ht="15" hidden="false" customHeight="true" outlineLevel="0" collapsed="false">
      <c r="B2" s="3" t="s">
        <v>171</v>
      </c>
      <c r="C2" s="37" t="str">
        <f aca="false">Guide!$C$3</f>
        <v>Maria Soldevila (company)</v>
      </c>
      <c r="D2" s="37"/>
      <c r="E2" s="3" t="s">
        <v>172</v>
      </c>
      <c r="F2" s="37" t="str">
        <f aca="false">Guide!$C$4</f>
        <v>2011</v>
      </c>
      <c r="G2" s="37"/>
    </row>
    <row r="4" customFormat="false" ht="15" hidden="false" customHeight="true" outlineLevel="0" collapsed="false">
      <c r="C4" s="38" t="s">
        <v>173</v>
      </c>
      <c r="E4" s="39" t="n">
        <f aca="false">SUM(E7:E106)</f>
        <v>4614000</v>
      </c>
      <c r="F4" s="39" t="n">
        <f aca="false">SUM(F7:F106)</f>
        <v>4614000</v>
      </c>
      <c r="G4" s="40" t="str">
        <f aca="false">IF(ABS(E4-F4)&lt;0.5,"OK","ERROR: "&amp;TEXT(E4-F4,"#,##0"))</f>
        <v>OK</v>
      </c>
      <c r="H4" s="40"/>
    </row>
    <row r="6" customFormat="false" ht="15" hidden="false" customHeight="true" outlineLevel="0" collapsed="false">
      <c r="B6" s="41" t="s">
        <v>174</v>
      </c>
      <c r="C6" s="41" t="s">
        <v>175</v>
      </c>
      <c r="D6" s="41" t="s">
        <v>176</v>
      </c>
      <c r="E6" s="41" t="s">
        <v>64</v>
      </c>
      <c r="F6" s="41" t="s">
        <v>65</v>
      </c>
      <c r="G6" s="41" t="s">
        <v>66</v>
      </c>
      <c r="H6" s="41" t="s">
        <v>177</v>
      </c>
      <c r="I6" s="41" t="s">
        <v>178</v>
      </c>
      <c r="K6" s="42" t="s">
        <v>179</v>
      </c>
    </row>
    <row r="7" customFormat="false" ht="15" hidden="false" customHeight="true" outlineLevel="0" collapsed="false">
      <c r="B7" s="43" t="s">
        <v>180</v>
      </c>
      <c r="C7" s="44" t="s">
        <v>181</v>
      </c>
      <c r="D7" s="44" t="s">
        <v>182</v>
      </c>
      <c r="E7" s="45" t="n">
        <v>240000</v>
      </c>
      <c r="F7" s="45"/>
      <c r="G7" s="43" t="s">
        <v>69</v>
      </c>
      <c r="H7" s="43"/>
      <c r="I7" s="46" t="str">
        <f aca="false">IF(B7="","",IF(ABS(SUMIF($B$7:$B$106,B7,$E$7:$E$106)-SUMIF($B$7:$B$106,B7,$F$7:$F$106))&lt;0.5,"OK","ERROR: Dr≠Cr"))</f>
        <v>OK</v>
      </c>
      <c r="K7" s="47" t="s">
        <v>183</v>
      </c>
    </row>
    <row r="8" customFormat="false" ht="15" hidden="false" customHeight="true" outlineLevel="0" collapsed="false">
      <c r="B8" s="48" t="s">
        <v>180</v>
      </c>
      <c r="C8" s="49"/>
      <c r="D8" s="49" t="s">
        <v>184</v>
      </c>
      <c r="E8" s="50"/>
      <c r="F8" s="50" t="n">
        <v>80000</v>
      </c>
      <c r="G8" s="48" t="s">
        <v>185</v>
      </c>
      <c r="H8" s="48" t="s">
        <v>186</v>
      </c>
      <c r="I8" s="46" t="str">
        <f aca="false">IF(B8="","",IF(ABS(SUMIF($B$7:$B$106,B8,$E$7:$E$106)-SUMIF($B$7:$B$106,B8,$F$7:$F$106))&lt;0.5,"OK","ERROR: Dr≠Cr"))</f>
        <v>OK</v>
      </c>
      <c r="K8" s="51" t="s">
        <v>187</v>
      </c>
    </row>
    <row r="9" customFormat="false" ht="15" hidden="false" customHeight="true" outlineLevel="0" collapsed="false">
      <c r="B9" s="43" t="s">
        <v>180</v>
      </c>
      <c r="C9" s="44"/>
      <c r="D9" s="44" t="s">
        <v>188</v>
      </c>
      <c r="E9" s="45"/>
      <c r="F9" s="45" t="n">
        <v>160000</v>
      </c>
      <c r="G9" s="43" t="s">
        <v>72</v>
      </c>
      <c r="H9" s="43"/>
      <c r="I9" s="46" t="str">
        <f aca="false">IF(B9="","",IF(ABS(SUMIF($B$7:$B$106,B9,$E$7:$E$106)-SUMIF($B$7:$B$106,B9,$F$7:$F$106))&lt;0.5,"OK","ERROR: Dr≠Cr"))</f>
        <v>OK</v>
      </c>
      <c r="K9" s="51" t="s">
        <v>189</v>
      </c>
    </row>
    <row r="10" customFormat="false" ht="15" hidden="false" customHeight="true" outlineLevel="0" collapsed="false">
      <c r="B10" s="48" t="s">
        <v>190</v>
      </c>
      <c r="C10" s="49" t="s">
        <v>191</v>
      </c>
      <c r="D10" s="49" t="s">
        <v>188</v>
      </c>
      <c r="E10" s="50" t="n">
        <v>160000</v>
      </c>
      <c r="F10" s="50"/>
      <c r="G10" s="48" t="s">
        <v>192</v>
      </c>
      <c r="H10" s="48"/>
      <c r="I10" s="46" t="str">
        <f aca="false">IF(B10="","",IF(ABS(SUMIF($B$7:$B$106,B10,$E$7:$E$106)-SUMIF($B$7:$B$106,B10,$F$7:$F$106))&lt;0.5,"OK","ERROR: Dr≠Cr"))</f>
        <v>OK</v>
      </c>
      <c r="K10" s="51" t="s">
        <v>193</v>
      </c>
    </row>
    <row r="11" customFormat="false" ht="21.75" hidden="false" customHeight="true" outlineLevel="0" collapsed="false">
      <c r="B11" s="43" t="s">
        <v>190</v>
      </c>
      <c r="C11" s="44"/>
      <c r="D11" s="44" t="s">
        <v>184</v>
      </c>
      <c r="E11" s="45"/>
      <c r="F11" s="45" t="n">
        <v>160000</v>
      </c>
      <c r="G11" s="43" t="s">
        <v>185</v>
      </c>
      <c r="H11" s="43" t="s">
        <v>186</v>
      </c>
      <c r="I11" s="46" t="str">
        <f aca="false">IF(B11="","",IF(ABS(SUMIF($B$7:$B$106,B11,$E$7:$E$106)-SUMIF($B$7:$B$106,B11,$F$7:$F$106))&lt;0.5,"OK","ERROR: Dr≠Cr"))</f>
        <v>OK</v>
      </c>
      <c r="K11" s="51" t="s">
        <v>194</v>
      </c>
    </row>
    <row r="12" customFormat="false" ht="15" hidden="false" customHeight="true" outlineLevel="0" collapsed="false">
      <c r="B12" s="48" t="n">
        <v>2</v>
      </c>
      <c r="C12" s="49" t="s">
        <v>195</v>
      </c>
      <c r="D12" s="49" t="s">
        <v>196</v>
      </c>
      <c r="E12" s="50" t="n">
        <v>270000</v>
      </c>
      <c r="F12" s="50"/>
      <c r="G12" s="48" t="s">
        <v>69</v>
      </c>
      <c r="H12" s="48"/>
      <c r="I12" s="46" t="str">
        <f aca="false">IF(B12="","",IF(ABS(SUMIF($B$7:$B$106,B12,$E$7:$E$106)-SUMIF($B$7:$B$106,B12,$F$7:$F$106))&lt;0.5,"OK","ERROR: Dr≠Cr"))</f>
        <v>OK</v>
      </c>
      <c r="K12" s="51" t="s">
        <v>197</v>
      </c>
    </row>
    <row r="13" customFormat="false" ht="15" hidden="false" customHeight="true" outlineLevel="0" collapsed="false">
      <c r="B13" s="43" t="n">
        <v>2</v>
      </c>
      <c r="C13" s="44"/>
      <c r="D13" s="44" t="s">
        <v>198</v>
      </c>
      <c r="E13" s="45"/>
      <c r="F13" s="45" t="n">
        <v>270000</v>
      </c>
      <c r="G13" s="43" t="s">
        <v>72</v>
      </c>
      <c r="H13" s="43"/>
      <c r="I13" s="46" t="str">
        <f aca="false">IF(B13="","",IF(ABS(SUMIF($B$7:$B$106,B13,$E$7:$E$106)-SUMIF($B$7:$B$106,B13,$F$7:$F$106))&lt;0.5,"OK","ERROR: Dr≠Cr"))</f>
        <v>OK</v>
      </c>
      <c r="K13" s="51" t="s">
        <v>199</v>
      </c>
    </row>
    <row r="14" customFormat="false" ht="15" hidden="false" customHeight="true" outlineLevel="0" collapsed="false">
      <c r="B14" s="48" t="n">
        <v>3</v>
      </c>
      <c r="C14" s="49" t="s">
        <v>200</v>
      </c>
      <c r="D14" s="49" t="s">
        <v>198</v>
      </c>
      <c r="E14" s="50" t="n">
        <v>250000</v>
      </c>
      <c r="F14" s="50"/>
      <c r="G14" s="48" t="s">
        <v>192</v>
      </c>
      <c r="H14" s="48"/>
      <c r="I14" s="46" t="str">
        <f aca="false">IF(B14="","",IF(ABS(SUMIF($B$7:$B$106,B14,$E$7:$E$106)-SUMIF($B$7:$B$106,B14,$F$7:$F$106))&lt;0.5,"OK","ERROR: Dr≠Cr"))</f>
        <v>OK</v>
      </c>
      <c r="K14" s="47" t="s">
        <v>201</v>
      </c>
    </row>
    <row r="15" customFormat="false" ht="15" hidden="false" customHeight="true" outlineLevel="0" collapsed="false">
      <c r="B15" s="43" t="n">
        <v>3</v>
      </c>
      <c r="C15" s="44"/>
      <c r="D15" s="44" t="s">
        <v>184</v>
      </c>
      <c r="E15" s="45"/>
      <c r="F15" s="45" t="n">
        <v>250000</v>
      </c>
      <c r="G15" s="43" t="s">
        <v>185</v>
      </c>
      <c r="H15" s="43" t="s">
        <v>202</v>
      </c>
      <c r="I15" s="46" t="str">
        <f aca="false">IF(B15="","",IF(ABS(SUMIF($B$7:$B$106,B15,$E$7:$E$106)-SUMIF($B$7:$B$106,B15,$F$7:$F$106))&lt;0.5,"OK","ERROR: Dr≠Cr"))</f>
        <v>OK</v>
      </c>
      <c r="K15" s="51" t="s">
        <v>203</v>
      </c>
    </row>
    <row r="16" customFormat="false" ht="15" hidden="false" customHeight="true" outlineLevel="0" collapsed="false">
      <c r="B16" s="48" t="n">
        <v>4</v>
      </c>
      <c r="C16" s="49" t="s">
        <v>204</v>
      </c>
      <c r="D16" s="49" t="s">
        <v>205</v>
      </c>
      <c r="E16" s="50" t="n">
        <v>242000</v>
      </c>
      <c r="F16" s="50"/>
      <c r="G16" s="48" t="s">
        <v>69</v>
      </c>
      <c r="H16" s="48"/>
      <c r="I16" s="46" t="str">
        <f aca="false">IF(B16="","",IF(ABS(SUMIF($B$7:$B$106,B16,$E$7:$E$106)-SUMIF($B$7:$B$106,B16,$F$7:$F$106))&lt;0.5,"OK","ERROR: Dr≠Cr"))</f>
        <v>OK</v>
      </c>
      <c r="K16" s="51" t="s">
        <v>206</v>
      </c>
    </row>
    <row r="17" customFormat="false" ht="15" hidden="false" customHeight="true" outlineLevel="0" collapsed="false">
      <c r="B17" s="43" t="n">
        <v>4</v>
      </c>
      <c r="C17" s="44"/>
      <c r="D17" s="44" t="s">
        <v>196</v>
      </c>
      <c r="E17" s="45"/>
      <c r="F17" s="45" t="n">
        <v>242000</v>
      </c>
      <c r="G17" s="43" t="s">
        <v>185</v>
      </c>
      <c r="H17" s="43"/>
      <c r="I17" s="46" t="str">
        <f aca="false">IF(B17="","",IF(ABS(SUMIF($B$7:$B$106,B17,$E$7:$E$106)-SUMIF($B$7:$B$106,B17,$F$7:$F$106))&lt;0.5,"OK","ERROR: Dr≠Cr"))</f>
        <v>OK</v>
      </c>
      <c r="K17" s="47" t="s">
        <v>207</v>
      </c>
    </row>
    <row r="18" customFormat="false" ht="21.75" hidden="false" customHeight="true" outlineLevel="0" collapsed="false">
      <c r="B18" s="48" t="n">
        <v>5</v>
      </c>
      <c r="C18" s="49" t="s">
        <v>208</v>
      </c>
      <c r="D18" s="49" t="s">
        <v>205</v>
      </c>
      <c r="E18" s="50" t="n">
        <v>162000</v>
      </c>
      <c r="F18" s="50"/>
      <c r="G18" s="48" t="s">
        <v>69</v>
      </c>
      <c r="H18" s="48"/>
      <c r="I18" s="46" t="str">
        <f aca="false">IF(B18="","",IF(ABS(SUMIF($B$7:$B$106,B18,$E$7:$E$106)-SUMIF($B$7:$B$106,B18,$F$7:$F$106))&lt;0.5,"OK","ERROR: Dr≠Cr"))</f>
        <v>OK</v>
      </c>
      <c r="K18" s="51" t="s">
        <v>209</v>
      </c>
    </row>
    <row r="19" customFormat="false" ht="15" hidden="false" customHeight="true" outlineLevel="0" collapsed="false">
      <c r="B19" s="43" t="n">
        <v>5</v>
      </c>
      <c r="C19" s="44"/>
      <c r="D19" s="44" t="s">
        <v>184</v>
      </c>
      <c r="E19" s="45"/>
      <c r="F19" s="45" t="n">
        <v>162000</v>
      </c>
      <c r="G19" s="43" t="s">
        <v>185</v>
      </c>
      <c r="H19" s="43" t="s">
        <v>202</v>
      </c>
      <c r="I19" s="46" t="str">
        <f aca="false">IF(B19="","",IF(ABS(SUMIF($B$7:$B$106,B19,$E$7:$E$106)-SUMIF($B$7:$B$106,B19,$F$7:$F$106))&lt;0.5,"OK","ERROR: Dr≠Cr"))</f>
        <v>OK</v>
      </c>
    </row>
    <row r="20" customFormat="false" ht="15" hidden="false" customHeight="true" outlineLevel="0" collapsed="false">
      <c r="B20" s="48" t="n">
        <v>6</v>
      </c>
      <c r="C20" s="49" t="s">
        <v>210</v>
      </c>
      <c r="D20" s="49" t="s">
        <v>211</v>
      </c>
      <c r="E20" s="50" t="n">
        <v>150000</v>
      </c>
      <c r="F20" s="50"/>
      <c r="G20" s="48" t="s">
        <v>212</v>
      </c>
      <c r="H20" s="48"/>
      <c r="I20" s="46" t="str">
        <f aca="false">IF(B20="","",IF(ABS(SUMIF($B$7:$B$106,B20,$E$7:$E$106)-SUMIF($B$7:$B$106,B20,$F$7:$F$106))&lt;0.5,"OK","ERROR: Dr≠Cr"))</f>
        <v>OK</v>
      </c>
    </row>
    <row r="21" customFormat="false" ht="15" hidden="false" customHeight="true" outlineLevel="0" collapsed="false">
      <c r="B21" s="43" t="n">
        <v>6</v>
      </c>
      <c r="C21" s="44"/>
      <c r="D21" s="44" t="s">
        <v>184</v>
      </c>
      <c r="E21" s="45"/>
      <c r="F21" s="45" t="n">
        <v>150000</v>
      </c>
      <c r="G21" s="43" t="s">
        <v>185</v>
      </c>
      <c r="H21" s="43" t="s">
        <v>202</v>
      </c>
      <c r="I21" s="46" t="str">
        <f aca="false">IF(B21="","",IF(ABS(SUMIF($B$7:$B$106,B21,$E$7:$E$106)-SUMIF($B$7:$B$106,B21,$F$7:$F$106))&lt;0.5,"OK","ERROR: Dr≠Cr"))</f>
        <v>OK</v>
      </c>
    </row>
    <row r="22" customFormat="false" ht="15" hidden="false" customHeight="true" outlineLevel="0" collapsed="false">
      <c r="B22" s="48" t="n">
        <v>7</v>
      </c>
      <c r="C22" s="49" t="s">
        <v>213</v>
      </c>
      <c r="D22" s="49" t="s">
        <v>205</v>
      </c>
      <c r="E22" s="50" t="n">
        <v>40000</v>
      </c>
      <c r="F22" s="50"/>
      <c r="G22" s="48" t="s">
        <v>69</v>
      </c>
      <c r="H22" s="48" t="s">
        <v>214</v>
      </c>
      <c r="I22" s="46" t="str">
        <f aca="false">IF(B22="","",IF(ABS(SUMIF($B$7:$B$106,B22,$E$7:$E$106)-SUMIF($B$7:$B$106,B22,$F$7:$F$106))&lt;0.5,"OK","ERROR: Dr≠Cr"))</f>
        <v>OK</v>
      </c>
    </row>
    <row r="23" customFormat="false" ht="15" hidden="false" customHeight="true" outlineLevel="0" collapsed="false">
      <c r="B23" s="43" t="n">
        <v>7</v>
      </c>
      <c r="C23" s="44"/>
      <c r="D23" s="44" t="s">
        <v>215</v>
      </c>
      <c r="E23" s="45"/>
      <c r="F23" s="45" t="n">
        <v>40000</v>
      </c>
      <c r="G23" s="43" t="s">
        <v>216</v>
      </c>
      <c r="H23" s="43"/>
      <c r="I23" s="46" t="str">
        <f aca="false">IF(B23="","",IF(ABS(SUMIF($B$7:$B$106,B23,$E$7:$E$106)-SUMIF($B$7:$B$106,B23,$F$7:$F$106))&lt;0.5,"OK","ERROR: Dr≠Cr"))</f>
        <v>OK</v>
      </c>
    </row>
    <row r="24" customFormat="false" ht="15" hidden="false" customHeight="true" outlineLevel="0" collapsed="false">
      <c r="B24" s="48" t="n">
        <v>8</v>
      </c>
      <c r="C24" s="49" t="s">
        <v>217</v>
      </c>
      <c r="D24" s="49" t="s">
        <v>218</v>
      </c>
      <c r="E24" s="50" t="n">
        <v>444000</v>
      </c>
      <c r="F24" s="50"/>
      <c r="G24" s="48" t="s">
        <v>69</v>
      </c>
      <c r="H24" s="48"/>
      <c r="I24" s="46" t="str">
        <f aca="false">IF(B24="","",IF(ABS(SUMIF($B$7:$B$106,B24,$E$7:$E$106)-SUMIF($B$7:$B$106,B24,$F$7:$F$106))&lt;0.5,"OK","ERROR: Dr≠Cr"))</f>
        <v>OK</v>
      </c>
    </row>
    <row r="25" customFormat="false" ht="15" hidden="false" customHeight="true" outlineLevel="0" collapsed="false">
      <c r="B25" s="43" t="n">
        <v>8</v>
      </c>
      <c r="C25" s="44"/>
      <c r="D25" s="44" t="s">
        <v>205</v>
      </c>
      <c r="E25" s="45"/>
      <c r="F25" s="45" t="n">
        <v>444000</v>
      </c>
      <c r="G25" s="43" t="s">
        <v>185</v>
      </c>
      <c r="H25" s="43"/>
      <c r="I25" s="46" t="str">
        <f aca="false">IF(B25="","",IF(ABS(SUMIF($B$7:$B$106,B25,$E$7:$E$106)-SUMIF($B$7:$B$106,B25,$F$7:$F$106))&lt;0.5,"OK","ERROR: Dr≠Cr"))</f>
        <v>OK</v>
      </c>
    </row>
    <row r="26" customFormat="false" ht="15" hidden="false" customHeight="true" outlineLevel="0" collapsed="false">
      <c r="B26" s="48" t="s">
        <v>219</v>
      </c>
      <c r="C26" s="49" t="s">
        <v>220</v>
      </c>
      <c r="D26" s="49" t="s">
        <v>221</v>
      </c>
      <c r="E26" s="50" t="n">
        <v>944000</v>
      </c>
      <c r="F26" s="50"/>
      <c r="G26" s="48" t="s">
        <v>69</v>
      </c>
      <c r="H26" s="48"/>
      <c r="I26" s="46" t="str">
        <f aca="false">IF(B26="","",IF(ABS(SUMIF($B$7:$B$106,B26,$E$7:$E$106)-SUMIF($B$7:$B$106,B26,$F$7:$F$106))&lt;0.5,"OK","ERROR: Dr≠Cr"))</f>
        <v>OK</v>
      </c>
    </row>
    <row r="27" customFormat="false" ht="15" hidden="false" customHeight="true" outlineLevel="0" collapsed="false">
      <c r="B27" s="43" t="s">
        <v>219</v>
      </c>
      <c r="C27" s="44"/>
      <c r="D27" s="44" t="s">
        <v>222</v>
      </c>
      <c r="E27" s="45"/>
      <c r="F27" s="45" t="n">
        <v>944000</v>
      </c>
      <c r="G27" s="43" t="s">
        <v>223</v>
      </c>
      <c r="H27" s="43"/>
      <c r="I27" s="46" t="str">
        <f aca="false">IF(B27="","",IF(ABS(SUMIF($B$7:$B$106,B27,$E$7:$E$106)-SUMIF($B$7:$B$106,B27,$F$7:$F$106))&lt;0.5,"OK","ERROR: Dr≠Cr"))</f>
        <v>OK</v>
      </c>
    </row>
    <row r="28" customFormat="false" ht="15" hidden="false" customHeight="true" outlineLevel="0" collapsed="false">
      <c r="B28" s="48" t="s">
        <v>224</v>
      </c>
      <c r="C28" s="49" t="s">
        <v>225</v>
      </c>
      <c r="D28" s="49" t="s">
        <v>226</v>
      </c>
      <c r="E28" s="50" t="n">
        <v>439000</v>
      </c>
      <c r="F28" s="50"/>
      <c r="G28" s="48" t="s">
        <v>212</v>
      </c>
      <c r="H28" s="48"/>
      <c r="I28" s="46" t="str">
        <f aca="false">IF(B28="","",IF(ABS(SUMIF($B$7:$B$106,B28,$E$7:$E$106)-SUMIF($B$7:$B$106,B28,$F$7:$F$106))&lt;0.5,"OK","ERROR: Dr≠Cr"))</f>
        <v>OK</v>
      </c>
    </row>
    <row r="29" customFormat="false" ht="15" hidden="false" customHeight="true" outlineLevel="0" collapsed="false">
      <c r="B29" s="43" t="s">
        <v>224</v>
      </c>
      <c r="C29" s="44"/>
      <c r="D29" s="44" t="s">
        <v>218</v>
      </c>
      <c r="E29" s="45"/>
      <c r="F29" s="45" t="n">
        <v>439000</v>
      </c>
      <c r="G29" s="43" t="s">
        <v>185</v>
      </c>
      <c r="H29" s="43"/>
      <c r="I29" s="46" t="str">
        <f aca="false">IF(B29="","",IF(ABS(SUMIF($B$7:$B$106,B29,$E$7:$E$106)-SUMIF($B$7:$B$106,B29,$F$7:$F$106))&lt;0.5,"OK","ERROR: Dr≠Cr"))</f>
        <v>OK</v>
      </c>
    </row>
    <row r="30" customFormat="false" ht="15" hidden="false" customHeight="true" outlineLevel="0" collapsed="false">
      <c r="B30" s="48" t="n">
        <v>10</v>
      </c>
      <c r="C30" s="49" t="s">
        <v>227</v>
      </c>
      <c r="D30" s="49" t="s">
        <v>184</v>
      </c>
      <c r="E30" s="50" t="n">
        <v>850000</v>
      </c>
      <c r="F30" s="50"/>
      <c r="G30" s="48" t="s">
        <v>69</v>
      </c>
      <c r="H30" s="48" t="s">
        <v>202</v>
      </c>
      <c r="I30" s="46" t="str">
        <f aca="false">IF(B30="","",IF(ABS(SUMIF($B$7:$B$106,B30,$E$7:$E$106)-SUMIF($B$7:$B$106,B30,$F$7:$F$106))&lt;0.5,"OK","ERROR: Dr≠Cr"))</f>
        <v>OK</v>
      </c>
    </row>
    <row r="31" customFormat="false" ht="15" hidden="false" customHeight="true" outlineLevel="0" collapsed="false">
      <c r="B31" s="43" t="n">
        <v>10</v>
      </c>
      <c r="C31" s="44"/>
      <c r="D31" s="44" t="s">
        <v>221</v>
      </c>
      <c r="E31" s="45"/>
      <c r="F31" s="45" t="n">
        <v>850000</v>
      </c>
      <c r="G31" s="43" t="s">
        <v>185</v>
      </c>
      <c r="H31" s="43"/>
      <c r="I31" s="46" t="str">
        <f aca="false">IF(B31="","",IF(ABS(SUMIF($B$7:$B$106,B31,$E$7:$E$106)-SUMIF($B$7:$B$106,B31,$F$7:$F$106))&lt;0.5,"OK","ERROR: Dr≠Cr"))</f>
        <v>OK</v>
      </c>
    </row>
    <row r="32" customFormat="false" ht="15" hidden="false" customHeight="true" outlineLevel="0" collapsed="false">
      <c r="B32" s="48" t="n">
        <v>11</v>
      </c>
      <c r="C32" s="49" t="s">
        <v>228</v>
      </c>
      <c r="D32" s="49" t="s">
        <v>229</v>
      </c>
      <c r="E32" s="50" t="n">
        <v>30000</v>
      </c>
      <c r="F32" s="50"/>
      <c r="G32" s="48" t="s">
        <v>230</v>
      </c>
      <c r="H32" s="48"/>
      <c r="I32" s="46" t="str">
        <f aca="false">IF(B32="","",IF(ABS(SUMIF($B$7:$B$106,B32,$E$7:$E$106)-SUMIF($B$7:$B$106,B32,$F$7:$F$106))&lt;0.5,"OK","ERROR: Dr≠Cr"))</f>
        <v>OK</v>
      </c>
    </row>
    <row r="33" customFormat="false" ht="15" hidden="false" customHeight="true" outlineLevel="0" collapsed="false">
      <c r="B33" s="43" t="n">
        <v>11</v>
      </c>
      <c r="C33" s="44"/>
      <c r="D33" s="44" t="s">
        <v>184</v>
      </c>
      <c r="E33" s="45"/>
      <c r="F33" s="45" t="n">
        <v>30000</v>
      </c>
      <c r="G33" s="43" t="s">
        <v>185</v>
      </c>
      <c r="H33" s="43" t="s">
        <v>231</v>
      </c>
      <c r="I33" s="46" t="str">
        <f aca="false">IF(B33="","",IF(ABS(SUMIF($B$7:$B$106,B33,$E$7:$E$106)-SUMIF($B$7:$B$106,B33,$F$7:$F$106))&lt;0.5,"OK","ERROR: Dr≠Cr"))</f>
        <v>OK</v>
      </c>
    </row>
    <row r="34" customFormat="false" ht="15" hidden="false" customHeight="true" outlineLevel="0" collapsed="false">
      <c r="B34" s="48" t="n">
        <v>12</v>
      </c>
      <c r="C34" s="49" t="s">
        <v>232</v>
      </c>
      <c r="D34" s="49" t="s">
        <v>184</v>
      </c>
      <c r="E34" s="50" t="n">
        <v>9000</v>
      </c>
      <c r="F34" s="50"/>
      <c r="G34" s="48" t="s">
        <v>69</v>
      </c>
      <c r="H34" s="48" t="s">
        <v>186</v>
      </c>
      <c r="I34" s="46" t="str">
        <f aca="false">IF(B34="","",IF(ABS(SUMIF($B$7:$B$106,B34,$E$7:$E$106)-SUMIF($B$7:$B$106,B34,$F$7:$F$106))&lt;0.5,"OK","ERROR: Dr≠Cr"))</f>
        <v>OK</v>
      </c>
    </row>
    <row r="35" customFormat="false" ht="15" hidden="false" customHeight="true" outlineLevel="0" collapsed="false">
      <c r="B35" s="43" t="n">
        <v>12</v>
      </c>
      <c r="C35" s="44"/>
      <c r="D35" s="44" t="s">
        <v>233</v>
      </c>
      <c r="E35" s="45" t="n">
        <v>4000</v>
      </c>
      <c r="F35" s="45"/>
      <c r="G35" s="43" t="s">
        <v>234</v>
      </c>
      <c r="H35" s="43"/>
      <c r="I35" s="46" t="str">
        <f aca="false">IF(B35="","",IF(ABS(SUMIF($B$7:$B$106,B35,$E$7:$E$106)-SUMIF($B$7:$B$106,B35,$F$7:$F$106))&lt;0.5,"OK","ERROR: Dr≠Cr"))</f>
        <v>OK</v>
      </c>
    </row>
    <row r="36" customFormat="false" ht="15" hidden="false" customHeight="true" outlineLevel="0" collapsed="false">
      <c r="B36" s="48" t="n">
        <v>12</v>
      </c>
      <c r="C36" s="49"/>
      <c r="D36" s="49" t="s">
        <v>235</v>
      </c>
      <c r="E36" s="50" t="n">
        <v>7000</v>
      </c>
      <c r="F36" s="50"/>
      <c r="G36" s="48" t="s">
        <v>212</v>
      </c>
      <c r="H36" s="48"/>
      <c r="I36" s="46" t="str">
        <f aca="false">IF(B36="","",IF(ABS(SUMIF($B$7:$B$106,B36,$E$7:$E$106)-SUMIF($B$7:$B$106,B36,$F$7:$F$106))&lt;0.5,"OK","ERROR: Dr≠Cr"))</f>
        <v>OK</v>
      </c>
    </row>
    <row r="37" customFormat="false" ht="15" hidden="false" customHeight="true" outlineLevel="0" collapsed="false">
      <c r="B37" s="43" t="n">
        <v>12</v>
      </c>
      <c r="C37" s="44"/>
      <c r="D37" s="44" t="s">
        <v>236</v>
      </c>
      <c r="E37" s="45"/>
      <c r="F37" s="45" t="n">
        <v>20000</v>
      </c>
      <c r="G37" s="43" t="s">
        <v>185</v>
      </c>
      <c r="H37" s="43"/>
      <c r="I37" s="46" t="str">
        <f aca="false">IF(B37="","",IF(ABS(SUMIF($B$7:$B$106,B37,$E$7:$E$106)-SUMIF($B$7:$B$106,B37,$F$7:$F$106))&lt;0.5,"OK","ERROR: Dr≠Cr"))</f>
        <v>OK</v>
      </c>
    </row>
    <row r="38" customFormat="false" ht="15" hidden="false" customHeight="true" outlineLevel="0" collapsed="false">
      <c r="B38" s="48" t="n">
        <v>13</v>
      </c>
      <c r="C38" s="49" t="s">
        <v>237</v>
      </c>
      <c r="D38" s="49" t="s">
        <v>236</v>
      </c>
      <c r="E38" s="50" t="n">
        <v>25000</v>
      </c>
      <c r="F38" s="50"/>
      <c r="G38" s="48" t="s">
        <v>69</v>
      </c>
      <c r="H38" s="48"/>
      <c r="I38" s="46" t="str">
        <f aca="false">IF(B38="","",IF(ABS(SUMIF($B$7:$B$106,B38,$E$7:$E$106)-SUMIF($B$7:$B$106,B38,$F$7:$F$106))&lt;0.5,"OK","ERROR: Dr≠Cr"))</f>
        <v>OK</v>
      </c>
    </row>
    <row r="39" customFormat="false" ht="15" hidden="false" customHeight="true" outlineLevel="0" collapsed="false">
      <c r="B39" s="43" t="n">
        <v>13</v>
      </c>
      <c r="C39" s="44"/>
      <c r="D39" s="44" t="s">
        <v>184</v>
      </c>
      <c r="E39" s="45"/>
      <c r="F39" s="45" t="n">
        <v>25000</v>
      </c>
      <c r="G39" s="43" t="s">
        <v>185</v>
      </c>
      <c r="H39" s="43" t="s">
        <v>186</v>
      </c>
      <c r="I39" s="46" t="str">
        <f aca="false">IF(B39="","",IF(ABS(SUMIF($B$7:$B$106,B39,$E$7:$E$106)-SUMIF($B$7:$B$106,B39,$F$7:$F$106))&lt;0.5,"OK","ERROR: Dr≠Cr"))</f>
        <v>OK</v>
      </c>
    </row>
    <row r="40" customFormat="false" ht="15" hidden="false" customHeight="true" outlineLevel="0" collapsed="false">
      <c r="B40" s="48" t="n">
        <v>14</v>
      </c>
      <c r="C40" s="49" t="s">
        <v>238</v>
      </c>
      <c r="D40" s="49" t="s">
        <v>239</v>
      </c>
      <c r="E40" s="50" t="n">
        <v>10000</v>
      </c>
      <c r="F40" s="50"/>
      <c r="G40" s="48" t="s">
        <v>212</v>
      </c>
      <c r="H40" s="48" t="s">
        <v>214</v>
      </c>
      <c r="I40" s="46" t="str">
        <f aca="false">IF(B40="","",IF(ABS(SUMIF($B$7:$B$106,B40,$E$7:$E$106)-SUMIF($B$7:$B$106,B40,$F$7:$F$106))&lt;0.5,"OK","ERROR: Dr≠Cr"))</f>
        <v>OK</v>
      </c>
    </row>
    <row r="41" customFormat="false" ht="15" hidden="false" customHeight="true" outlineLevel="0" collapsed="false">
      <c r="B41" s="43" t="n">
        <v>14</v>
      </c>
      <c r="C41" s="44"/>
      <c r="D41" s="44" t="s">
        <v>221</v>
      </c>
      <c r="E41" s="45"/>
      <c r="F41" s="45" t="n">
        <v>10000</v>
      </c>
      <c r="G41" s="43" t="s">
        <v>185</v>
      </c>
      <c r="H41" s="43"/>
      <c r="I41" s="46" t="str">
        <f aca="false">IF(B41="","",IF(ABS(SUMIF($B$7:$B$106,B41,$E$7:$E$106)-SUMIF($B$7:$B$106,B41,$F$7:$F$106))&lt;0.5,"OK","ERROR: Dr≠Cr"))</f>
        <v>OK</v>
      </c>
    </row>
    <row r="42" customFormat="false" ht="15" hidden="false" customHeight="true" outlineLevel="0" collapsed="false">
      <c r="B42" s="48" t="n">
        <v>15</v>
      </c>
      <c r="C42" s="49" t="s">
        <v>240</v>
      </c>
      <c r="D42" s="49" t="s">
        <v>241</v>
      </c>
      <c r="E42" s="50"/>
      <c r="F42" s="50"/>
      <c r="G42" s="48"/>
      <c r="H42" s="48"/>
      <c r="I42" s="46" t="str">
        <f aca="false">IF(B42="","",IF(ABS(SUMIF($B$7:$B$106,B42,$E$7:$E$106)-SUMIF($B$7:$B$106,B42,$F$7:$F$106))&lt;0.5,"OK","ERROR: Dr≠Cr"))</f>
        <v>OK</v>
      </c>
    </row>
    <row r="43" customFormat="false" ht="15" hidden="false" customHeight="true" outlineLevel="0" collapsed="false">
      <c r="B43" s="43" t="s">
        <v>242</v>
      </c>
      <c r="C43" s="44" t="s">
        <v>243</v>
      </c>
      <c r="D43" s="44" t="s">
        <v>244</v>
      </c>
      <c r="E43" s="45" t="n">
        <v>5000</v>
      </c>
      <c r="F43" s="45"/>
      <c r="G43" s="43" t="s">
        <v>212</v>
      </c>
      <c r="H43" s="43" t="s">
        <v>214</v>
      </c>
      <c r="I43" s="46" t="str">
        <f aca="false">IF(B43="","",IF(ABS(SUMIF($B$7:$B$106,B43,$E$7:$E$106)-SUMIF($B$7:$B$106,B43,$F$7:$F$106))&lt;0.5,"OK","ERROR: Dr≠Cr"))</f>
        <v>OK</v>
      </c>
    </row>
    <row r="44" customFormat="false" ht="15" hidden="false" customHeight="true" outlineLevel="0" collapsed="false">
      <c r="B44" s="48" t="s">
        <v>242</v>
      </c>
      <c r="C44" s="49"/>
      <c r="D44" s="49" t="s">
        <v>245</v>
      </c>
      <c r="E44" s="50"/>
      <c r="F44" s="50" t="n">
        <v>5000</v>
      </c>
      <c r="G44" s="48" t="s">
        <v>216</v>
      </c>
      <c r="H44" s="48"/>
      <c r="I44" s="46" t="str">
        <f aca="false">IF(B44="","",IF(ABS(SUMIF($B$7:$B$106,B44,$E$7:$E$106)-SUMIF($B$7:$B$106,B44,$F$7:$F$106))&lt;0.5,"OK","ERROR: Dr≠Cr"))</f>
        <v>OK</v>
      </c>
    </row>
    <row r="45" customFormat="false" ht="15" hidden="false" customHeight="true" outlineLevel="0" collapsed="false">
      <c r="B45" s="43" t="s">
        <v>246</v>
      </c>
      <c r="C45" s="44" t="s">
        <v>247</v>
      </c>
      <c r="D45" s="44" t="s">
        <v>248</v>
      </c>
      <c r="E45" s="45" t="n">
        <v>6000</v>
      </c>
      <c r="F45" s="45"/>
      <c r="G45" s="43" t="s">
        <v>212</v>
      </c>
      <c r="H45" s="43" t="s">
        <v>214</v>
      </c>
      <c r="I45" s="46" t="str">
        <f aca="false">IF(B45="","",IF(ABS(SUMIF($B$7:$B$106,B45,$E$7:$E$106)-SUMIF($B$7:$B$106,B45,$F$7:$F$106))&lt;0.5,"OK","ERROR: Dr≠Cr"))</f>
        <v>OK</v>
      </c>
    </row>
    <row r="46" customFormat="false" ht="15" hidden="false" customHeight="true" outlineLevel="0" collapsed="false">
      <c r="B46" s="48" t="s">
        <v>246</v>
      </c>
      <c r="C46" s="49"/>
      <c r="D46" s="49" t="s">
        <v>249</v>
      </c>
      <c r="E46" s="50"/>
      <c r="F46" s="50" t="n">
        <v>6000</v>
      </c>
      <c r="G46" s="48" t="s">
        <v>185</v>
      </c>
      <c r="H46" s="48"/>
      <c r="I46" s="46" t="str">
        <f aca="false">IF(B46="","",IF(ABS(SUMIF($B$7:$B$106,B46,$E$7:$E$106)-SUMIF($B$7:$B$106,B46,$F$7:$F$106))&lt;0.5,"OK","ERROR: Dr≠Cr"))</f>
        <v>OK</v>
      </c>
    </row>
    <row r="47" customFormat="false" ht="15" hidden="false" customHeight="true" outlineLevel="0" collapsed="false">
      <c r="B47" s="43" t="s">
        <v>250</v>
      </c>
      <c r="C47" s="44" t="s">
        <v>251</v>
      </c>
      <c r="D47" s="44" t="s">
        <v>252</v>
      </c>
      <c r="E47" s="45" t="n">
        <v>327000</v>
      </c>
      <c r="F47" s="45"/>
      <c r="G47" s="43" t="s">
        <v>230</v>
      </c>
      <c r="H47" s="43" t="s">
        <v>214</v>
      </c>
      <c r="I47" s="46" t="str">
        <f aca="false">IF(B47="","",IF(ABS(SUMIF($B$7:$B$106,B47,$E$7:$E$106)-SUMIF($B$7:$B$106,B47,$F$7:$F$106))&lt;0.5,"OK","ERROR: Dr≠Cr"))</f>
        <v>OK</v>
      </c>
    </row>
    <row r="48" customFormat="false" ht="15" hidden="false" customHeight="true" outlineLevel="0" collapsed="false">
      <c r="B48" s="48" t="s">
        <v>250</v>
      </c>
      <c r="C48" s="49"/>
      <c r="D48" s="49" t="s">
        <v>229</v>
      </c>
      <c r="E48" s="50"/>
      <c r="F48" s="50" t="n">
        <v>327000</v>
      </c>
      <c r="G48" s="48" t="s">
        <v>253</v>
      </c>
      <c r="H48" s="48"/>
      <c r="I48" s="46" t="str">
        <f aca="false">IF(B48="","",IF(ABS(SUMIF($B$7:$B$106,B48,$E$7:$E$106)-SUMIF($B$7:$B$106,B48,$F$7:$F$106))&lt;0.5,"OK","ERROR: Dr≠Cr"))</f>
        <v>OK</v>
      </c>
    </row>
    <row r="49" customFormat="false" ht="15" hidden="false" customHeight="true" outlineLevel="0" collapsed="false">
      <c r="B49" s="43"/>
      <c r="C49" s="44"/>
      <c r="D49" s="44"/>
      <c r="E49" s="45"/>
      <c r="F49" s="45"/>
      <c r="G49" s="43"/>
      <c r="H49" s="43"/>
      <c r="I49" s="46" t="str">
        <f aca="false">IF(B49="","",IF(ABS(SUMIF($B$7:$B$106,B49,$E$7:$E$106)-SUMIF($B$7:$B$106,B49,$F$7:$F$106))&lt;0.5,"OK","ERROR: Dr≠Cr"))</f>
        <v/>
      </c>
    </row>
    <row r="50" customFormat="false" ht="15" hidden="false" customHeight="true" outlineLevel="0" collapsed="false">
      <c r="B50" s="48"/>
      <c r="C50" s="49"/>
      <c r="D50" s="49"/>
      <c r="E50" s="50"/>
      <c r="F50" s="50"/>
      <c r="G50" s="48"/>
      <c r="H50" s="48"/>
      <c r="I50" s="46" t="str">
        <f aca="false">IF(B50="","",IF(ABS(SUMIF($B$7:$B$106,B50,$E$7:$E$106)-SUMIF($B$7:$B$106,B50,$F$7:$F$106))&lt;0.5,"OK","ERROR: Dr≠Cr"))</f>
        <v/>
      </c>
    </row>
    <row r="51" customFormat="false" ht="15" hidden="false" customHeight="true" outlineLevel="0" collapsed="false">
      <c r="B51" s="43"/>
      <c r="C51" s="44"/>
      <c r="D51" s="44"/>
      <c r="E51" s="45"/>
      <c r="F51" s="45"/>
      <c r="G51" s="43"/>
      <c r="H51" s="43"/>
      <c r="I51" s="46" t="str">
        <f aca="false">IF(B51="","",IF(ABS(SUMIF($B$7:$B$106,B51,$E$7:$E$106)-SUMIF($B$7:$B$106,B51,$F$7:$F$106))&lt;0.5,"OK","ERROR: Dr≠Cr"))</f>
        <v/>
      </c>
    </row>
    <row r="52" customFormat="false" ht="15" hidden="false" customHeight="true" outlineLevel="0" collapsed="false">
      <c r="B52" s="48"/>
      <c r="C52" s="49"/>
      <c r="D52" s="49"/>
      <c r="E52" s="50"/>
      <c r="F52" s="50"/>
      <c r="G52" s="48"/>
      <c r="H52" s="48"/>
      <c r="I52" s="46" t="str">
        <f aca="false">IF(B52="","",IF(ABS(SUMIF($B$7:$B$106,B52,$E$7:$E$106)-SUMIF($B$7:$B$106,B52,$F$7:$F$106))&lt;0.5,"OK","ERROR: Dr≠Cr"))</f>
        <v/>
      </c>
    </row>
    <row r="53" customFormat="false" ht="15" hidden="false" customHeight="true" outlineLevel="0" collapsed="false">
      <c r="B53" s="43"/>
      <c r="C53" s="44"/>
      <c r="D53" s="44"/>
      <c r="E53" s="45"/>
      <c r="F53" s="45"/>
      <c r="G53" s="43"/>
      <c r="H53" s="43"/>
      <c r="I53" s="46" t="str">
        <f aca="false">IF(B53="","",IF(ABS(SUMIF($B$7:$B$106,B53,$E$7:$E$106)-SUMIF($B$7:$B$106,B53,$F$7:$F$106))&lt;0.5,"OK","ERROR: Dr≠Cr"))</f>
        <v/>
      </c>
    </row>
    <row r="54" customFormat="false" ht="15" hidden="false" customHeight="true" outlineLevel="0" collapsed="false">
      <c r="B54" s="48"/>
      <c r="C54" s="49"/>
      <c r="D54" s="49"/>
      <c r="E54" s="50"/>
      <c r="F54" s="50"/>
      <c r="G54" s="48"/>
      <c r="H54" s="48"/>
      <c r="I54" s="46" t="str">
        <f aca="false">IF(B54="","",IF(ABS(SUMIF($B$7:$B$106,B54,$E$7:$E$106)-SUMIF($B$7:$B$106,B54,$F$7:$F$106))&lt;0.5,"OK","ERROR: Dr≠Cr"))</f>
        <v/>
      </c>
    </row>
    <row r="55" customFormat="false" ht="15" hidden="false" customHeight="true" outlineLevel="0" collapsed="false">
      <c r="B55" s="43"/>
      <c r="C55" s="44"/>
      <c r="D55" s="44"/>
      <c r="E55" s="45"/>
      <c r="F55" s="45"/>
      <c r="G55" s="43"/>
      <c r="H55" s="43"/>
      <c r="I55" s="46" t="str">
        <f aca="false">IF(B55="","",IF(ABS(SUMIF($B$7:$B$106,B55,$E$7:$E$106)-SUMIF($B$7:$B$106,B55,$F$7:$F$106))&lt;0.5,"OK","ERROR: Dr≠Cr"))</f>
        <v/>
      </c>
    </row>
    <row r="56" customFormat="false" ht="15" hidden="false" customHeight="true" outlineLevel="0" collapsed="false">
      <c r="B56" s="48"/>
      <c r="C56" s="49"/>
      <c r="D56" s="49"/>
      <c r="E56" s="50"/>
      <c r="F56" s="50"/>
      <c r="G56" s="48"/>
      <c r="H56" s="48"/>
      <c r="I56" s="46" t="str">
        <f aca="false">IF(B56="","",IF(ABS(SUMIF($B$7:$B$106,B56,$E$7:$E$106)-SUMIF($B$7:$B$106,B56,$F$7:$F$106))&lt;0.5,"OK","ERROR: Dr≠Cr"))</f>
        <v/>
      </c>
    </row>
    <row r="57" customFormat="false" ht="15" hidden="false" customHeight="true" outlineLevel="0" collapsed="false">
      <c r="B57" s="43"/>
      <c r="C57" s="44"/>
      <c r="D57" s="44"/>
      <c r="E57" s="45"/>
      <c r="F57" s="45"/>
      <c r="G57" s="43"/>
      <c r="H57" s="43"/>
      <c r="I57" s="46" t="str">
        <f aca="false">IF(B57="","",IF(ABS(SUMIF($B$7:$B$106,B57,$E$7:$E$106)-SUMIF($B$7:$B$106,B57,$F$7:$F$106))&lt;0.5,"OK","ERROR: Dr≠Cr"))</f>
        <v/>
      </c>
    </row>
    <row r="58" customFormat="false" ht="15" hidden="false" customHeight="true" outlineLevel="0" collapsed="false">
      <c r="B58" s="48"/>
      <c r="C58" s="49"/>
      <c r="D58" s="49"/>
      <c r="E58" s="50"/>
      <c r="F58" s="50"/>
      <c r="G58" s="48"/>
      <c r="H58" s="48"/>
      <c r="I58" s="46" t="str">
        <f aca="false">IF(B58="","",IF(ABS(SUMIF($B$7:$B$106,B58,$E$7:$E$106)-SUMIF($B$7:$B$106,B58,$F$7:$F$106))&lt;0.5,"OK","ERROR: Dr≠Cr"))</f>
        <v/>
      </c>
    </row>
    <row r="59" customFormat="false" ht="15" hidden="false" customHeight="true" outlineLevel="0" collapsed="false">
      <c r="B59" s="43"/>
      <c r="C59" s="44"/>
      <c r="D59" s="44"/>
      <c r="E59" s="45"/>
      <c r="F59" s="45"/>
      <c r="G59" s="43"/>
      <c r="H59" s="43"/>
      <c r="I59" s="46" t="str">
        <f aca="false">IF(B59="","",IF(ABS(SUMIF($B$7:$B$106,B59,$E$7:$E$106)-SUMIF($B$7:$B$106,B59,$F$7:$F$106))&lt;0.5,"OK","ERROR: Dr≠Cr"))</f>
        <v/>
      </c>
    </row>
    <row r="60" customFormat="false" ht="15" hidden="false" customHeight="true" outlineLevel="0" collapsed="false">
      <c r="B60" s="48"/>
      <c r="C60" s="49"/>
      <c r="D60" s="49"/>
      <c r="E60" s="50"/>
      <c r="F60" s="50"/>
      <c r="G60" s="48"/>
      <c r="H60" s="48"/>
      <c r="I60" s="46" t="str">
        <f aca="false">IF(B60="","",IF(ABS(SUMIF($B$7:$B$106,B60,$E$7:$E$106)-SUMIF($B$7:$B$106,B60,$F$7:$F$106))&lt;0.5,"OK","ERROR: Dr≠Cr"))</f>
        <v/>
      </c>
    </row>
    <row r="61" customFormat="false" ht="15" hidden="false" customHeight="true" outlineLevel="0" collapsed="false">
      <c r="B61" s="43"/>
      <c r="C61" s="44"/>
      <c r="D61" s="44"/>
      <c r="E61" s="45"/>
      <c r="F61" s="45"/>
      <c r="G61" s="43"/>
      <c r="H61" s="43"/>
      <c r="I61" s="46" t="str">
        <f aca="false">IF(B61="","",IF(ABS(SUMIF($B$7:$B$106,B61,$E$7:$E$106)-SUMIF($B$7:$B$106,B61,$F$7:$F$106))&lt;0.5,"OK","ERROR: Dr≠Cr"))</f>
        <v/>
      </c>
    </row>
    <row r="62" customFormat="false" ht="15" hidden="false" customHeight="true" outlineLevel="0" collapsed="false">
      <c r="B62" s="48"/>
      <c r="C62" s="49"/>
      <c r="D62" s="49"/>
      <c r="E62" s="50"/>
      <c r="F62" s="50"/>
      <c r="G62" s="48"/>
      <c r="H62" s="48"/>
      <c r="I62" s="46" t="str">
        <f aca="false">IF(B62="","",IF(ABS(SUMIF($B$7:$B$106,B62,$E$7:$E$106)-SUMIF($B$7:$B$106,B62,$F$7:$F$106))&lt;0.5,"OK","ERROR: Dr≠Cr"))</f>
        <v/>
      </c>
    </row>
    <row r="63" customFormat="false" ht="15" hidden="false" customHeight="true" outlineLevel="0" collapsed="false">
      <c r="B63" s="43"/>
      <c r="C63" s="44"/>
      <c r="D63" s="44"/>
      <c r="E63" s="45"/>
      <c r="F63" s="45"/>
      <c r="G63" s="43"/>
      <c r="H63" s="43"/>
      <c r="I63" s="46" t="str">
        <f aca="false">IF(B63="","",IF(ABS(SUMIF($B$7:$B$106,B63,$E$7:$E$106)-SUMIF($B$7:$B$106,B63,$F$7:$F$106))&lt;0.5,"OK","ERROR: Dr≠Cr"))</f>
        <v/>
      </c>
    </row>
    <row r="64" customFormat="false" ht="15" hidden="false" customHeight="true" outlineLevel="0" collapsed="false">
      <c r="B64" s="48"/>
      <c r="C64" s="49"/>
      <c r="D64" s="49"/>
      <c r="E64" s="50"/>
      <c r="F64" s="50"/>
      <c r="G64" s="48"/>
      <c r="H64" s="48"/>
      <c r="I64" s="46" t="str">
        <f aca="false">IF(B64="","",IF(ABS(SUMIF($B$7:$B$106,B64,$E$7:$E$106)-SUMIF($B$7:$B$106,B64,$F$7:$F$106))&lt;0.5,"OK","ERROR: Dr≠Cr"))</f>
        <v/>
      </c>
    </row>
    <row r="65" customFormat="false" ht="15" hidden="false" customHeight="true" outlineLevel="0" collapsed="false">
      <c r="B65" s="43"/>
      <c r="C65" s="44"/>
      <c r="D65" s="44"/>
      <c r="E65" s="45"/>
      <c r="F65" s="45"/>
      <c r="G65" s="43"/>
      <c r="H65" s="43"/>
      <c r="I65" s="46" t="str">
        <f aca="false">IF(B65="","",IF(ABS(SUMIF($B$7:$B$106,B65,$E$7:$E$106)-SUMIF($B$7:$B$106,B65,$F$7:$F$106))&lt;0.5,"OK","ERROR: Dr≠Cr"))</f>
        <v/>
      </c>
    </row>
    <row r="66" customFormat="false" ht="15" hidden="false" customHeight="true" outlineLevel="0" collapsed="false">
      <c r="B66" s="48"/>
      <c r="C66" s="49"/>
      <c r="D66" s="49"/>
      <c r="E66" s="50"/>
      <c r="F66" s="50"/>
      <c r="G66" s="48"/>
      <c r="H66" s="48"/>
      <c r="I66" s="46" t="str">
        <f aca="false">IF(B66="","",IF(ABS(SUMIF($B$7:$B$106,B66,$E$7:$E$106)-SUMIF($B$7:$B$106,B66,$F$7:$F$106))&lt;0.5,"OK","ERROR: Dr≠Cr"))</f>
        <v/>
      </c>
    </row>
    <row r="67" customFormat="false" ht="15" hidden="false" customHeight="true" outlineLevel="0" collapsed="false">
      <c r="B67" s="43"/>
      <c r="C67" s="44"/>
      <c r="D67" s="44"/>
      <c r="E67" s="45"/>
      <c r="F67" s="45"/>
      <c r="G67" s="43"/>
      <c r="H67" s="43"/>
      <c r="I67" s="46" t="str">
        <f aca="false">IF(B67="","",IF(ABS(SUMIF($B$7:$B$106,B67,$E$7:$E$106)-SUMIF($B$7:$B$106,B67,$F$7:$F$106))&lt;0.5,"OK","ERROR: Dr≠Cr"))</f>
        <v/>
      </c>
    </row>
    <row r="68" customFormat="false" ht="15" hidden="false" customHeight="true" outlineLevel="0" collapsed="false">
      <c r="B68" s="48"/>
      <c r="C68" s="49"/>
      <c r="D68" s="49"/>
      <c r="E68" s="50"/>
      <c r="F68" s="50"/>
      <c r="G68" s="48"/>
      <c r="H68" s="48"/>
      <c r="I68" s="46" t="str">
        <f aca="false">IF(B68="","",IF(ABS(SUMIF($B$7:$B$106,B68,$E$7:$E$106)-SUMIF($B$7:$B$106,B68,$F$7:$F$106))&lt;0.5,"OK","ERROR: Dr≠Cr"))</f>
        <v/>
      </c>
    </row>
    <row r="69" customFormat="false" ht="15" hidden="false" customHeight="true" outlineLevel="0" collapsed="false">
      <c r="B69" s="43"/>
      <c r="C69" s="44"/>
      <c r="D69" s="44"/>
      <c r="E69" s="45"/>
      <c r="F69" s="45"/>
      <c r="G69" s="43"/>
      <c r="H69" s="43"/>
      <c r="I69" s="46" t="str">
        <f aca="false">IF(B69="","",IF(ABS(SUMIF($B$7:$B$106,B69,$E$7:$E$106)-SUMIF($B$7:$B$106,B69,$F$7:$F$106))&lt;0.5,"OK","ERROR: Dr≠Cr"))</f>
        <v/>
      </c>
    </row>
    <row r="70" customFormat="false" ht="15" hidden="false" customHeight="true" outlineLevel="0" collapsed="false">
      <c r="B70" s="48"/>
      <c r="C70" s="49"/>
      <c r="D70" s="49"/>
      <c r="E70" s="50"/>
      <c r="F70" s="50"/>
      <c r="G70" s="48"/>
      <c r="H70" s="48"/>
      <c r="I70" s="46" t="str">
        <f aca="false">IF(B70="","",IF(ABS(SUMIF($B$7:$B$106,B70,$E$7:$E$106)-SUMIF($B$7:$B$106,B70,$F$7:$F$106))&lt;0.5,"OK","ERROR: Dr≠Cr"))</f>
        <v/>
      </c>
    </row>
    <row r="71" customFormat="false" ht="15" hidden="false" customHeight="true" outlineLevel="0" collapsed="false">
      <c r="B71" s="43"/>
      <c r="C71" s="44"/>
      <c r="D71" s="44"/>
      <c r="E71" s="45"/>
      <c r="F71" s="45"/>
      <c r="G71" s="43"/>
      <c r="H71" s="43"/>
      <c r="I71" s="46" t="str">
        <f aca="false">IF(B71="","",IF(ABS(SUMIF($B$7:$B$106,B71,$E$7:$E$106)-SUMIF($B$7:$B$106,B71,$F$7:$F$106))&lt;0.5,"OK","ERROR: Dr≠Cr"))</f>
        <v/>
      </c>
    </row>
    <row r="72" customFormat="false" ht="15" hidden="false" customHeight="true" outlineLevel="0" collapsed="false">
      <c r="B72" s="48"/>
      <c r="C72" s="49"/>
      <c r="D72" s="49"/>
      <c r="E72" s="50"/>
      <c r="F72" s="50"/>
      <c r="G72" s="48"/>
      <c r="H72" s="48"/>
      <c r="I72" s="46" t="str">
        <f aca="false">IF(B72="","",IF(ABS(SUMIF($B$7:$B$106,B72,$E$7:$E$106)-SUMIF($B$7:$B$106,B72,$F$7:$F$106))&lt;0.5,"OK","ERROR: Dr≠Cr"))</f>
        <v/>
      </c>
    </row>
    <row r="73" customFormat="false" ht="15" hidden="false" customHeight="true" outlineLevel="0" collapsed="false">
      <c r="B73" s="43"/>
      <c r="C73" s="44"/>
      <c r="D73" s="44"/>
      <c r="E73" s="45"/>
      <c r="F73" s="45"/>
      <c r="G73" s="43"/>
      <c r="H73" s="43"/>
      <c r="I73" s="46" t="str">
        <f aca="false">IF(B73="","",IF(ABS(SUMIF($B$7:$B$106,B73,$E$7:$E$106)-SUMIF($B$7:$B$106,B73,$F$7:$F$106))&lt;0.5,"OK","ERROR: Dr≠Cr"))</f>
        <v/>
      </c>
    </row>
    <row r="74" customFormat="false" ht="15" hidden="false" customHeight="true" outlineLevel="0" collapsed="false">
      <c r="B74" s="48"/>
      <c r="C74" s="49"/>
      <c r="D74" s="49"/>
      <c r="E74" s="50"/>
      <c r="F74" s="50"/>
      <c r="G74" s="48"/>
      <c r="H74" s="48"/>
      <c r="I74" s="46" t="str">
        <f aca="false">IF(B74="","",IF(ABS(SUMIF($B$7:$B$106,B74,$E$7:$E$106)-SUMIF($B$7:$B$106,B74,$F$7:$F$106))&lt;0.5,"OK","ERROR: Dr≠Cr"))</f>
        <v/>
      </c>
    </row>
    <row r="75" customFormat="false" ht="15" hidden="false" customHeight="true" outlineLevel="0" collapsed="false">
      <c r="B75" s="43"/>
      <c r="C75" s="44"/>
      <c r="D75" s="44"/>
      <c r="E75" s="45"/>
      <c r="F75" s="45"/>
      <c r="G75" s="43"/>
      <c r="H75" s="43"/>
      <c r="I75" s="46" t="str">
        <f aca="false">IF(B75="","",IF(ABS(SUMIF($B$7:$B$106,B75,$E$7:$E$106)-SUMIF($B$7:$B$106,B75,$F$7:$F$106))&lt;0.5,"OK","ERROR: Dr≠Cr"))</f>
        <v/>
      </c>
    </row>
    <row r="76" customFormat="false" ht="15" hidden="false" customHeight="true" outlineLevel="0" collapsed="false">
      <c r="B76" s="48"/>
      <c r="C76" s="49"/>
      <c r="D76" s="49"/>
      <c r="E76" s="50"/>
      <c r="F76" s="50"/>
      <c r="G76" s="48"/>
      <c r="H76" s="48"/>
      <c r="I76" s="46" t="str">
        <f aca="false">IF(B76="","",IF(ABS(SUMIF($B$7:$B$106,B76,$E$7:$E$106)-SUMIF($B$7:$B$106,B76,$F$7:$F$106))&lt;0.5,"OK","ERROR: Dr≠Cr"))</f>
        <v/>
      </c>
    </row>
    <row r="77" customFormat="false" ht="15" hidden="false" customHeight="true" outlineLevel="0" collapsed="false">
      <c r="B77" s="43"/>
      <c r="C77" s="44"/>
      <c r="D77" s="44"/>
      <c r="E77" s="45"/>
      <c r="F77" s="45"/>
      <c r="G77" s="43"/>
      <c r="H77" s="43"/>
      <c r="I77" s="46" t="str">
        <f aca="false">IF(B77="","",IF(ABS(SUMIF($B$7:$B$106,B77,$E$7:$E$106)-SUMIF($B$7:$B$106,B77,$F$7:$F$106))&lt;0.5,"OK","ERROR: Dr≠Cr"))</f>
        <v/>
      </c>
    </row>
    <row r="78" customFormat="false" ht="15" hidden="false" customHeight="true" outlineLevel="0" collapsed="false">
      <c r="B78" s="48"/>
      <c r="C78" s="49"/>
      <c r="D78" s="49"/>
      <c r="E78" s="50"/>
      <c r="F78" s="50"/>
      <c r="G78" s="48"/>
      <c r="H78" s="48"/>
      <c r="I78" s="46" t="str">
        <f aca="false">IF(B78="","",IF(ABS(SUMIF($B$7:$B$106,B78,$E$7:$E$106)-SUMIF($B$7:$B$106,B78,$F$7:$F$106))&lt;0.5,"OK","ERROR: Dr≠Cr"))</f>
        <v/>
      </c>
    </row>
    <row r="79" customFormat="false" ht="15" hidden="false" customHeight="true" outlineLevel="0" collapsed="false">
      <c r="B79" s="43"/>
      <c r="C79" s="44"/>
      <c r="D79" s="44"/>
      <c r="E79" s="45"/>
      <c r="F79" s="45"/>
      <c r="G79" s="43"/>
      <c r="H79" s="43"/>
      <c r="I79" s="46" t="str">
        <f aca="false">IF(B79="","",IF(ABS(SUMIF($B$7:$B$106,B79,$E$7:$E$106)-SUMIF($B$7:$B$106,B79,$F$7:$F$106))&lt;0.5,"OK","ERROR: Dr≠Cr"))</f>
        <v/>
      </c>
    </row>
    <row r="80" customFormat="false" ht="15" hidden="false" customHeight="true" outlineLevel="0" collapsed="false">
      <c r="B80" s="48"/>
      <c r="C80" s="49"/>
      <c r="D80" s="49"/>
      <c r="E80" s="50"/>
      <c r="F80" s="50"/>
      <c r="G80" s="48"/>
      <c r="H80" s="48"/>
      <c r="I80" s="46" t="str">
        <f aca="false">IF(B80="","",IF(ABS(SUMIF($B$7:$B$106,B80,$E$7:$E$106)-SUMIF($B$7:$B$106,B80,$F$7:$F$106))&lt;0.5,"OK","ERROR: Dr≠Cr"))</f>
        <v/>
      </c>
    </row>
    <row r="81" customFormat="false" ht="15" hidden="false" customHeight="true" outlineLevel="0" collapsed="false">
      <c r="B81" s="43"/>
      <c r="C81" s="44"/>
      <c r="D81" s="44"/>
      <c r="E81" s="45"/>
      <c r="F81" s="45"/>
      <c r="G81" s="43"/>
      <c r="H81" s="43"/>
      <c r="I81" s="46" t="str">
        <f aca="false">IF(B81="","",IF(ABS(SUMIF($B$7:$B$106,B81,$E$7:$E$106)-SUMIF($B$7:$B$106,B81,$F$7:$F$106))&lt;0.5,"OK","ERROR: Dr≠Cr"))</f>
        <v/>
      </c>
    </row>
    <row r="82" customFormat="false" ht="15" hidden="false" customHeight="true" outlineLevel="0" collapsed="false">
      <c r="B82" s="48"/>
      <c r="C82" s="49"/>
      <c r="D82" s="49"/>
      <c r="E82" s="50"/>
      <c r="F82" s="50"/>
      <c r="G82" s="48"/>
      <c r="H82" s="48"/>
      <c r="I82" s="46" t="str">
        <f aca="false">IF(B82="","",IF(ABS(SUMIF($B$7:$B$106,B82,$E$7:$E$106)-SUMIF($B$7:$B$106,B82,$F$7:$F$106))&lt;0.5,"OK","ERROR: Dr≠Cr"))</f>
        <v/>
      </c>
    </row>
    <row r="83" customFormat="false" ht="15" hidden="false" customHeight="true" outlineLevel="0" collapsed="false">
      <c r="B83" s="43"/>
      <c r="C83" s="44"/>
      <c r="D83" s="44"/>
      <c r="E83" s="45"/>
      <c r="F83" s="45"/>
      <c r="G83" s="43"/>
      <c r="H83" s="43"/>
      <c r="I83" s="46" t="str">
        <f aca="false">IF(B83="","",IF(ABS(SUMIF($B$7:$B$106,B83,$E$7:$E$106)-SUMIF($B$7:$B$106,B83,$F$7:$F$106))&lt;0.5,"OK","ERROR: Dr≠Cr"))</f>
        <v/>
      </c>
    </row>
    <row r="84" customFormat="false" ht="15" hidden="false" customHeight="true" outlineLevel="0" collapsed="false">
      <c r="B84" s="48"/>
      <c r="C84" s="49"/>
      <c r="D84" s="49"/>
      <c r="E84" s="50"/>
      <c r="F84" s="50"/>
      <c r="G84" s="48"/>
      <c r="H84" s="48"/>
      <c r="I84" s="46" t="str">
        <f aca="false">IF(B84="","",IF(ABS(SUMIF($B$7:$B$106,B84,$E$7:$E$106)-SUMIF($B$7:$B$106,B84,$F$7:$F$106))&lt;0.5,"OK","ERROR: Dr≠Cr"))</f>
        <v/>
      </c>
    </row>
    <row r="85" customFormat="false" ht="15" hidden="false" customHeight="true" outlineLevel="0" collapsed="false">
      <c r="B85" s="43"/>
      <c r="C85" s="44"/>
      <c r="D85" s="44"/>
      <c r="E85" s="45"/>
      <c r="F85" s="45"/>
      <c r="G85" s="43"/>
      <c r="H85" s="43"/>
      <c r="I85" s="46" t="str">
        <f aca="false">IF(B85="","",IF(ABS(SUMIF($B$7:$B$106,B85,$E$7:$E$106)-SUMIF($B$7:$B$106,B85,$F$7:$F$106))&lt;0.5,"OK","ERROR: Dr≠Cr"))</f>
        <v/>
      </c>
    </row>
    <row r="86" customFormat="false" ht="15" hidden="false" customHeight="true" outlineLevel="0" collapsed="false">
      <c r="B86" s="48"/>
      <c r="C86" s="49"/>
      <c r="D86" s="49"/>
      <c r="E86" s="50"/>
      <c r="F86" s="50"/>
      <c r="G86" s="48"/>
      <c r="H86" s="48"/>
      <c r="I86" s="46" t="str">
        <f aca="false">IF(B86="","",IF(ABS(SUMIF($B$7:$B$106,B86,$E$7:$E$106)-SUMIF($B$7:$B$106,B86,$F$7:$F$106))&lt;0.5,"OK","ERROR: Dr≠Cr"))</f>
        <v/>
      </c>
    </row>
    <row r="87" customFormat="false" ht="15" hidden="false" customHeight="true" outlineLevel="0" collapsed="false">
      <c r="B87" s="43"/>
      <c r="C87" s="44"/>
      <c r="D87" s="44"/>
      <c r="E87" s="45"/>
      <c r="F87" s="45"/>
      <c r="G87" s="43"/>
      <c r="H87" s="43"/>
      <c r="I87" s="46" t="str">
        <f aca="false">IF(B87="","",IF(ABS(SUMIF($B$7:$B$106,B87,$E$7:$E$106)-SUMIF($B$7:$B$106,B87,$F$7:$F$106))&lt;0.5,"OK","ERROR: Dr≠Cr"))</f>
        <v/>
      </c>
    </row>
    <row r="88" customFormat="false" ht="15" hidden="false" customHeight="true" outlineLevel="0" collapsed="false">
      <c r="B88" s="48"/>
      <c r="C88" s="49"/>
      <c r="D88" s="49"/>
      <c r="E88" s="50"/>
      <c r="F88" s="50"/>
      <c r="G88" s="48"/>
      <c r="H88" s="48"/>
      <c r="I88" s="46" t="str">
        <f aca="false">IF(B88="","",IF(ABS(SUMIF($B$7:$B$106,B88,$E$7:$E$106)-SUMIF($B$7:$B$106,B88,$F$7:$F$106))&lt;0.5,"OK","ERROR: Dr≠Cr"))</f>
        <v/>
      </c>
    </row>
    <row r="89" customFormat="false" ht="15" hidden="false" customHeight="true" outlineLevel="0" collapsed="false">
      <c r="B89" s="43"/>
      <c r="C89" s="44"/>
      <c r="D89" s="44"/>
      <c r="E89" s="45"/>
      <c r="F89" s="45"/>
      <c r="G89" s="43"/>
      <c r="H89" s="43"/>
      <c r="I89" s="46" t="str">
        <f aca="false">IF(B89="","",IF(ABS(SUMIF($B$7:$B$106,B89,$E$7:$E$106)-SUMIF($B$7:$B$106,B89,$F$7:$F$106))&lt;0.5,"OK","ERROR: Dr≠Cr"))</f>
        <v/>
      </c>
    </row>
    <row r="90" customFormat="false" ht="15" hidden="false" customHeight="true" outlineLevel="0" collapsed="false">
      <c r="B90" s="48"/>
      <c r="C90" s="49"/>
      <c r="D90" s="49"/>
      <c r="E90" s="50"/>
      <c r="F90" s="50"/>
      <c r="G90" s="48"/>
      <c r="H90" s="48"/>
      <c r="I90" s="46" t="str">
        <f aca="false">IF(B90="","",IF(ABS(SUMIF($B$7:$B$106,B90,$E$7:$E$106)-SUMIF($B$7:$B$106,B90,$F$7:$F$106))&lt;0.5,"OK","ERROR: Dr≠Cr"))</f>
        <v/>
      </c>
    </row>
    <row r="91" customFormat="false" ht="15" hidden="false" customHeight="true" outlineLevel="0" collapsed="false">
      <c r="B91" s="43"/>
      <c r="C91" s="44"/>
      <c r="D91" s="44"/>
      <c r="E91" s="45"/>
      <c r="F91" s="45"/>
      <c r="G91" s="43"/>
      <c r="H91" s="43"/>
      <c r="I91" s="46" t="str">
        <f aca="false">IF(B91="","",IF(ABS(SUMIF($B$7:$B$106,B91,$E$7:$E$106)-SUMIF($B$7:$B$106,B91,$F$7:$F$106))&lt;0.5,"OK","ERROR: Dr≠Cr"))</f>
        <v/>
      </c>
    </row>
    <row r="92" customFormat="false" ht="15" hidden="false" customHeight="true" outlineLevel="0" collapsed="false">
      <c r="B92" s="48"/>
      <c r="C92" s="49"/>
      <c r="D92" s="49"/>
      <c r="E92" s="50"/>
      <c r="F92" s="50"/>
      <c r="G92" s="48"/>
      <c r="H92" s="48"/>
      <c r="I92" s="46" t="str">
        <f aca="false">IF(B92="","",IF(ABS(SUMIF($B$7:$B$106,B92,$E$7:$E$106)-SUMIF($B$7:$B$106,B92,$F$7:$F$106))&lt;0.5,"OK","ERROR: Dr≠Cr"))</f>
        <v/>
      </c>
    </row>
    <row r="93" customFormat="false" ht="15" hidden="false" customHeight="true" outlineLevel="0" collapsed="false">
      <c r="B93" s="43"/>
      <c r="C93" s="44"/>
      <c r="D93" s="44"/>
      <c r="E93" s="45"/>
      <c r="F93" s="45"/>
      <c r="G93" s="43"/>
      <c r="H93" s="43"/>
      <c r="I93" s="46" t="str">
        <f aca="false">IF(B93="","",IF(ABS(SUMIF($B$7:$B$106,B93,$E$7:$E$106)-SUMIF($B$7:$B$106,B93,$F$7:$F$106))&lt;0.5,"OK","ERROR: Dr≠Cr"))</f>
        <v/>
      </c>
    </row>
    <row r="94" customFormat="false" ht="15" hidden="false" customHeight="true" outlineLevel="0" collapsed="false">
      <c r="B94" s="48"/>
      <c r="C94" s="49"/>
      <c r="D94" s="49"/>
      <c r="E94" s="50"/>
      <c r="F94" s="50"/>
      <c r="G94" s="48"/>
      <c r="H94" s="48"/>
      <c r="I94" s="46" t="str">
        <f aca="false">IF(B94="","",IF(ABS(SUMIF($B$7:$B$106,B94,$E$7:$E$106)-SUMIF($B$7:$B$106,B94,$F$7:$F$106))&lt;0.5,"OK","ERROR: Dr≠Cr"))</f>
        <v/>
      </c>
    </row>
    <row r="95" customFormat="false" ht="15" hidden="false" customHeight="true" outlineLevel="0" collapsed="false">
      <c r="B95" s="43"/>
      <c r="C95" s="44"/>
      <c r="D95" s="44"/>
      <c r="E95" s="45"/>
      <c r="F95" s="45"/>
      <c r="G95" s="43"/>
      <c r="H95" s="43"/>
      <c r="I95" s="46" t="str">
        <f aca="false">IF(B95="","",IF(ABS(SUMIF($B$7:$B$106,B95,$E$7:$E$106)-SUMIF($B$7:$B$106,B95,$F$7:$F$106))&lt;0.5,"OK","ERROR: Dr≠Cr"))</f>
        <v/>
      </c>
    </row>
    <row r="96" customFormat="false" ht="15" hidden="false" customHeight="true" outlineLevel="0" collapsed="false">
      <c r="B96" s="48"/>
      <c r="C96" s="49"/>
      <c r="D96" s="49"/>
      <c r="E96" s="50"/>
      <c r="F96" s="50"/>
      <c r="G96" s="48"/>
      <c r="H96" s="48"/>
      <c r="I96" s="46" t="str">
        <f aca="false">IF(B96="","",IF(ABS(SUMIF($B$7:$B$106,B96,$E$7:$E$106)-SUMIF($B$7:$B$106,B96,$F$7:$F$106))&lt;0.5,"OK","ERROR: Dr≠Cr"))</f>
        <v/>
      </c>
    </row>
    <row r="97" customFormat="false" ht="15" hidden="false" customHeight="true" outlineLevel="0" collapsed="false">
      <c r="B97" s="43"/>
      <c r="C97" s="44"/>
      <c r="D97" s="44"/>
      <c r="E97" s="45"/>
      <c r="F97" s="45"/>
      <c r="G97" s="43"/>
      <c r="H97" s="43"/>
      <c r="I97" s="46" t="str">
        <f aca="false">IF(B97="","",IF(ABS(SUMIF($B$7:$B$106,B97,$E$7:$E$106)-SUMIF($B$7:$B$106,B97,$F$7:$F$106))&lt;0.5,"OK","ERROR: Dr≠Cr"))</f>
        <v/>
      </c>
    </row>
    <row r="98" customFormat="false" ht="15" hidden="false" customHeight="true" outlineLevel="0" collapsed="false">
      <c r="B98" s="48"/>
      <c r="C98" s="49"/>
      <c r="D98" s="49"/>
      <c r="E98" s="50"/>
      <c r="F98" s="50"/>
      <c r="G98" s="48"/>
      <c r="H98" s="48"/>
      <c r="I98" s="46" t="str">
        <f aca="false">IF(B98="","",IF(ABS(SUMIF($B$7:$B$106,B98,$E$7:$E$106)-SUMIF($B$7:$B$106,B98,$F$7:$F$106))&lt;0.5,"OK","ERROR: Dr≠Cr"))</f>
        <v/>
      </c>
    </row>
    <row r="99" customFormat="false" ht="15" hidden="false" customHeight="true" outlineLevel="0" collapsed="false">
      <c r="B99" s="43"/>
      <c r="C99" s="44"/>
      <c r="D99" s="44"/>
      <c r="E99" s="45"/>
      <c r="F99" s="45"/>
      <c r="G99" s="43"/>
      <c r="H99" s="43"/>
      <c r="I99" s="46" t="str">
        <f aca="false">IF(B99="","",IF(ABS(SUMIF($B$7:$B$106,B99,$E$7:$E$106)-SUMIF($B$7:$B$106,B99,$F$7:$F$106))&lt;0.5,"OK","ERROR: Dr≠Cr"))</f>
        <v/>
      </c>
    </row>
    <row r="100" customFormat="false" ht="15" hidden="false" customHeight="true" outlineLevel="0" collapsed="false">
      <c r="B100" s="48"/>
      <c r="C100" s="49"/>
      <c r="D100" s="49"/>
      <c r="E100" s="50"/>
      <c r="F100" s="50"/>
      <c r="G100" s="48"/>
      <c r="H100" s="48"/>
      <c r="I100" s="46" t="str">
        <f aca="false">IF(B100="","",IF(ABS(SUMIF($B$7:$B$106,B100,$E$7:$E$106)-SUMIF($B$7:$B$106,B100,$F$7:$F$106))&lt;0.5,"OK","ERROR: Dr≠Cr"))</f>
        <v/>
      </c>
    </row>
    <row r="101" customFormat="false" ht="15" hidden="false" customHeight="true" outlineLevel="0" collapsed="false">
      <c r="B101" s="43"/>
      <c r="C101" s="44"/>
      <c r="D101" s="44"/>
      <c r="E101" s="45"/>
      <c r="F101" s="45"/>
      <c r="G101" s="43"/>
      <c r="H101" s="43"/>
      <c r="I101" s="46" t="str">
        <f aca="false">IF(B101="","",IF(ABS(SUMIF($B$7:$B$106,B101,$E$7:$E$106)-SUMIF($B$7:$B$106,B101,$F$7:$F$106))&lt;0.5,"OK","ERROR: Dr≠Cr"))</f>
        <v/>
      </c>
    </row>
    <row r="102" customFormat="false" ht="15" hidden="false" customHeight="true" outlineLevel="0" collapsed="false">
      <c r="B102" s="48"/>
      <c r="C102" s="49"/>
      <c r="D102" s="49"/>
      <c r="E102" s="50"/>
      <c r="F102" s="50"/>
      <c r="G102" s="48"/>
      <c r="H102" s="48"/>
      <c r="I102" s="46" t="str">
        <f aca="false">IF(B102="","",IF(ABS(SUMIF($B$7:$B$106,B102,$E$7:$E$106)-SUMIF($B$7:$B$106,B102,$F$7:$F$106))&lt;0.5,"OK","ERROR: Dr≠Cr"))</f>
        <v/>
      </c>
    </row>
    <row r="103" customFormat="false" ht="15" hidden="false" customHeight="true" outlineLevel="0" collapsed="false">
      <c r="B103" s="43"/>
      <c r="C103" s="44"/>
      <c r="D103" s="44"/>
      <c r="E103" s="45"/>
      <c r="F103" s="45"/>
      <c r="G103" s="43"/>
      <c r="H103" s="43"/>
      <c r="I103" s="46" t="str">
        <f aca="false">IF(B103="","",IF(ABS(SUMIF($B$7:$B$106,B103,$E$7:$E$106)-SUMIF($B$7:$B$106,B103,$F$7:$F$106))&lt;0.5,"OK","ERROR: Dr≠Cr"))</f>
        <v/>
      </c>
    </row>
    <row r="104" customFormat="false" ht="15" hidden="false" customHeight="true" outlineLevel="0" collapsed="false">
      <c r="B104" s="48"/>
      <c r="C104" s="49"/>
      <c r="D104" s="49"/>
      <c r="E104" s="50"/>
      <c r="F104" s="50"/>
      <c r="G104" s="48"/>
      <c r="H104" s="48"/>
      <c r="I104" s="46" t="str">
        <f aca="false">IF(B104="","",IF(ABS(SUMIF($B$7:$B$106,B104,$E$7:$E$106)-SUMIF($B$7:$B$106,B104,$F$7:$F$106))&lt;0.5,"OK","ERROR: Dr≠Cr"))</f>
        <v/>
      </c>
    </row>
    <row r="105" customFormat="false" ht="15" hidden="false" customHeight="true" outlineLevel="0" collapsed="false">
      <c r="B105" s="43"/>
      <c r="C105" s="44"/>
      <c r="D105" s="44"/>
      <c r="E105" s="45"/>
      <c r="F105" s="45"/>
      <c r="G105" s="43"/>
      <c r="H105" s="43"/>
      <c r="I105" s="46" t="str">
        <f aca="false">IF(B105="","",IF(ABS(SUMIF($B$7:$B$106,B105,$E$7:$E$106)-SUMIF($B$7:$B$106,B105,$F$7:$F$106))&lt;0.5,"OK","ERROR: Dr≠Cr"))</f>
        <v/>
      </c>
    </row>
    <row r="106" customFormat="false" ht="15" hidden="false" customHeight="true" outlineLevel="0" collapsed="false">
      <c r="B106" s="48"/>
      <c r="C106" s="49"/>
      <c r="D106" s="49"/>
      <c r="E106" s="50"/>
      <c r="F106" s="50"/>
      <c r="G106" s="48"/>
      <c r="H106" s="48"/>
      <c r="I106" s="46" t="str">
        <f aca="false">IF(B106="","",IF(ABS(SUMIF($B$7:$B$106,B106,$E$7:$E$106)-SUMIF($B$7:$B$106,B106,$F$7:$F$106))&lt;0.5,"OK","ERROR: Dr≠Cr"))</f>
        <v/>
      </c>
    </row>
  </sheetData>
  <mergeCells count="4">
    <mergeCell ref="B1:I1"/>
    <mergeCell ref="C2:D2"/>
    <mergeCell ref="F2:G2"/>
    <mergeCell ref="G4:H4"/>
  </mergeCells>
  <conditionalFormatting sqref="G4">
    <cfRule type="expression" priority="2" aboveAverage="0" equalAverage="0" bottom="0" percent="0" rank="0" text="" dxfId="0">
      <formula>G4="OK"</formula>
    </cfRule>
    <cfRule type="expression" priority="3" aboveAverage="0" equalAverage="0" bottom="0" percent="0" rank="0" text="" dxfId="1">
      <formula>LEFT(G4,5)="ERROR"</formula>
    </cfRule>
  </conditionalFormatting>
  <conditionalFormatting sqref="I7:I106">
    <cfRule type="expression" priority="4" aboveAverage="0" equalAverage="0" bottom="0" percent="0" rank="0" text="" dxfId="0">
      <formula>I7="OK"</formula>
    </cfRule>
    <cfRule type="expression" priority="5" aboveAverage="0" equalAverage="0" bottom="0" percent="0" rank="0" text="" dxfId="1">
      <formula>LEFT(I7,5)="ERROR"</formula>
    </cfRule>
  </conditionalFormatting>
  <dataValidations count="3">
    <dataValidation allowBlank="true" errorStyle="stop" operator="between" showDropDown="false" showErrorMessage="false" showInputMessage="false" sqref="D7:D106" type="list">
      <formula1>Lists!$A$1:$A$28</formula1>
      <formula2>0</formula2>
    </dataValidation>
    <dataValidation allowBlank="true" errorStyle="stop" operator="between" showDropDown="false" showErrorMessage="false" showInputMessage="false" sqref="G7:G106" type="list">
      <formula1>Lists!$B$1:$B$10</formula1>
      <formula2>0</formula2>
    </dataValidation>
    <dataValidation allowBlank="true" errorStyle="stop" operator="between" showDropDown="false" showErrorMessage="false" showInputMessage="false" sqref="H7:H106" type="list">
      <formula1>Lists!$C$1:$C$4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2E4E"/>
    <pageSetUpPr fitToPage="true"/>
  </sheetPr>
  <dimension ref="B1:W1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4.5"/>
    <col collapsed="false" customWidth="true" hidden="false" outlineLevel="0" max="4" min="3" style="1" width="12"/>
    <col collapsed="false" customWidth="true" hidden="false" outlineLevel="0" max="5" min="5" style="1" width="4.5"/>
    <col collapsed="false" customWidth="true" hidden="false" outlineLevel="0" max="6" min="6" style="1" width="2"/>
    <col collapsed="false" customWidth="true" hidden="false" outlineLevel="0" max="7" min="7" style="1" width="4.5"/>
    <col collapsed="false" customWidth="true" hidden="false" outlineLevel="0" max="9" min="8" style="1" width="12"/>
    <col collapsed="false" customWidth="true" hidden="false" outlineLevel="0" max="10" min="10" style="1" width="4.5"/>
    <col collapsed="false" customWidth="true" hidden="false" outlineLevel="0" max="11" min="11" style="1" width="4"/>
    <col collapsed="false" customWidth="true" hidden="false" outlineLevel="0" max="12" min="12" style="1" width="2"/>
    <col collapsed="false" customWidth="true" hidden="false" outlineLevel="0" max="13" min="13" style="1" width="4.5"/>
    <col collapsed="false" customWidth="true" hidden="false" outlineLevel="0" max="15" min="14" style="1" width="12"/>
    <col collapsed="false" customWidth="true" hidden="false" outlineLevel="0" max="16" min="16" style="1" width="4.5"/>
    <col collapsed="false" customWidth="true" hidden="false" outlineLevel="0" max="17" min="17" style="1" width="2"/>
    <col collapsed="false" customWidth="true" hidden="false" outlineLevel="0" max="18" min="18" style="1" width="4.5"/>
    <col collapsed="false" customWidth="true" hidden="false" outlineLevel="0" max="20" min="19" style="1" width="12"/>
    <col collapsed="false" customWidth="true" hidden="false" outlineLevel="0" max="21" min="21" style="1" width="4.5"/>
    <col collapsed="false" customWidth="true" hidden="false" outlineLevel="0" max="22" min="22" style="1" width="3"/>
    <col collapsed="false" customWidth="true" hidden="false" outlineLevel="0" max="23" min="23" style="1" width="78"/>
  </cols>
  <sheetData>
    <row r="1" customFormat="false" ht="17.25" hidden="false" customHeight="true" outlineLevel="0" collapsed="false">
      <c r="B1" s="2" t="s">
        <v>254</v>
      </c>
      <c r="C1" s="2"/>
      <c r="D1" s="2"/>
      <c r="E1" s="2"/>
      <c r="F1" s="2"/>
      <c r="G1" s="2"/>
      <c r="H1" s="2"/>
      <c r="I1" s="2"/>
      <c r="J1" s="2"/>
      <c r="K1" s="2"/>
      <c r="L1" s="2"/>
      <c r="M1" s="2"/>
      <c r="N1" s="2"/>
      <c r="O1" s="2"/>
      <c r="P1" s="2"/>
      <c r="Q1" s="2"/>
      <c r="R1" s="2"/>
      <c r="S1" s="2"/>
      <c r="T1" s="2"/>
    </row>
    <row r="2" customFormat="false" ht="15" hidden="false" customHeight="true" outlineLevel="0" collapsed="false">
      <c r="B2" s="3" t="s">
        <v>171</v>
      </c>
      <c r="D2" s="37" t="str">
        <f aca="false">Guide!$C$3</f>
        <v>Maria Soldevila (company)</v>
      </c>
      <c r="E2" s="37"/>
      <c r="F2" s="37"/>
      <c r="G2" s="37"/>
      <c r="H2" s="37"/>
      <c r="I2" s="37"/>
      <c r="L2" s="3" t="s">
        <v>172</v>
      </c>
      <c r="N2" s="37" t="str">
        <f aca="false">Guide!$C$4</f>
        <v>2011</v>
      </c>
      <c r="O2" s="37"/>
      <c r="P2" s="37"/>
      <c r="Q2" s="37"/>
      <c r="R2" s="37"/>
    </row>
    <row r="5" customFormat="false" ht="15" hidden="false" customHeight="true" outlineLevel="0" collapsed="false">
      <c r="B5" s="52" t="s">
        <v>255</v>
      </c>
      <c r="C5" s="52"/>
      <c r="D5" s="52"/>
      <c r="E5" s="52"/>
      <c r="F5" s="52"/>
      <c r="G5" s="52"/>
      <c r="H5" s="52"/>
      <c r="I5" s="52"/>
      <c r="J5" s="52"/>
      <c r="L5" s="53" t="s">
        <v>256</v>
      </c>
      <c r="M5" s="53"/>
      <c r="N5" s="53"/>
      <c r="O5" s="53"/>
      <c r="P5" s="53"/>
      <c r="Q5" s="53"/>
      <c r="R5" s="53"/>
      <c r="S5" s="53"/>
      <c r="T5" s="53"/>
      <c r="W5" s="42" t="s">
        <v>179</v>
      </c>
    </row>
    <row r="6" customFormat="false" ht="15" hidden="false" customHeight="true" outlineLevel="0" collapsed="false">
      <c r="W6" s="47" t="s">
        <v>257</v>
      </c>
    </row>
    <row r="7" customFormat="false" ht="15" hidden="false" customHeight="true" outlineLevel="0" collapsed="false">
      <c r="B7" s="54" t="s">
        <v>184</v>
      </c>
      <c r="C7" s="54"/>
      <c r="D7" s="54"/>
      <c r="E7" s="54"/>
      <c r="G7" s="54" t="s">
        <v>258</v>
      </c>
      <c r="H7" s="54"/>
      <c r="I7" s="54"/>
      <c r="J7" s="54"/>
      <c r="M7" s="55" t="s">
        <v>198</v>
      </c>
      <c r="N7" s="55"/>
      <c r="O7" s="55"/>
      <c r="P7" s="55"/>
      <c r="R7" s="55" t="s">
        <v>259</v>
      </c>
      <c r="S7" s="55"/>
      <c r="T7" s="55"/>
      <c r="U7" s="55"/>
      <c r="W7" s="51" t="s">
        <v>260</v>
      </c>
    </row>
    <row r="8" customFormat="false" ht="15" hidden="false" customHeight="true" outlineLevel="0" collapsed="false">
      <c r="B8" s="56" t="s">
        <v>174</v>
      </c>
      <c r="C8" s="57" t="s">
        <v>261</v>
      </c>
      <c r="D8" s="56" t="s">
        <v>262</v>
      </c>
      <c r="E8" s="56" t="s">
        <v>174</v>
      </c>
      <c r="G8" s="56" t="s">
        <v>174</v>
      </c>
      <c r="H8" s="57" t="s">
        <v>261</v>
      </c>
      <c r="I8" s="56" t="s">
        <v>262</v>
      </c>
      <c r="J8" s="56" t="s">
        <v>174</v>
      </c>
      <c r="M8" s="56" t="s">
        <v>174</v>
      </c>
      <c r="N8" s="57" t="s">
        <v>263</v>
      </c>
      <c r="O8" s="56" t="s">
        <v>264</v>
      </c>
      <c r="P8" s="56" t="s">
        <v>174</v>
      </c>
      <c r="R8" s="56" t="s">
        <v>174</v>
      </c>
      <c r="S8" s="57" t="s">
        <v>263</v>
      </c>
      <c r="T8" s="56" t="s">
        <v>264</v>
      </c>
      <c r="U8" s="56" t="s">
        <v>174</v>
      </c>
      <c r="W8" s="51" t="s">
        <v>265</v>
      </c>
    </row>
    <row r="9" customFormat="false" ht="15" hidden="false" customHeight="true" outlineLevel="0" collapsed="false">
      <c r="B9" s="58" t="s">
        <v>266</v>
      </c>
      <c r="C9" s="59" t="n">
        <v>101000</v>
      </c>
      <c r="D9" s="60"/>
      <c r="E9" s="58"/>
      <c r="G9" s="58" t="s">
        <v>266</v>
      </c>
      <c r="H9" s="59" t="n">
        <v>20000</v>
      </c>
      <c r="I9" s="60"/>
      <c r="J9" s="58"/>
      <c r="M9" s="58"/>
      <c r="N9" s="59"/>
      <c r="O9" s="60" t="n">
        <v>50000</v>
      </c>
      <c r="P9" s="58" t="s">
        <v>266</v>
      </c>
      <c r="R9" s="58"/>
      <c r="S9" s="59"/>
      <c r="T9" s="60"/>
      <c r="U9" s="58" t="s">
        <v>266</v>
      </c>
      <c r="W9" s="51" t="s">
        <v>267</v>
      </c>
    </row>
    <row r="10" customFormat="false" ht="15" hidden="false" customHeight="true" outlineLevel="0" collapsed="false">
      <c r="B10" s="61" t="n">
        <v>10</v>
      </c>
      <c r="C10" s="62" t="n">
        <v>850000</v>
      </c>
      <c r="D10" s="50" t="n">
        <v>80000</v>
      </c>
      <c r="E10" s="61" t="s">
        <v>180</v>
      </c>
      <c r="G10" s="61"/>
      <c r="H10" s="62"/>
      <c r="I10" s="50"/>
      <c r="J10" s="61"/>
      <c r="M10" s="61" t="n">
        <v>3</v>
      </c>
      <c r="N10" s="62" t="n">
        <v>250000</v>
      </c>
      <c r="O10" s="50" t="n">
        <v>270000</v>
      </c>
      <c r="P10" s="61" t="n">
        <v>2</v>
      </c>
      <c r="R10" s="61"/>
      <c r="S10" s="62"/>
      <c r="T10" s="50"/>
      <c r="U10" s="61"/>
      <c r="W10" s="47" t="s">
        <v>268</v>
      </c>
    </row>
    <row r="11" customFormat="false" ht="15" hidden="false" customHeight="true" outlineLevel="0" collapsed="false">
      <c r="B11" s="61" t="n">
        <v>12</v>
      </c>
      <c r="C11" s="62" t="n">
        <v>9000</v>
      </c>
      <c r="D11" s="50" t="n">
        <v>160000</v>
      </c>
      <c r="E11" s="61" t="s">
        <v>190</v>
      </c>
      <c r="G11" s="61"/>
      <c r="H11" s="62"/>
      <c r="I11" s="50"/>
      <c r="J11" s="61"/>
      <c r="M11" s="61"/>
      <c r="N11" s="62"/>
      <c r="O11" s="50"/>
      <c r="P11" s="61"/>
      <c r="R11" s="61"/>
      <c r="S11" s="62"/>
      <c r="T11" s="50"/>
      <c r="U11" s="61"/>
      <c r="W11" s="51" t="s">
        <v>269</v>
      </c>
    </row>
    <row r="12" customFormat="false" ht="15" hidden="false" customHeight="true" outlineLevel="0" collapsed="false">
      <c r="B12" s="61"/>
      <c r="C12" s="62"/>
      <c r="D12" s="50" t="n">
        <v>250000</v>
      </c>
      <c r="E12" s="61" t="n">
        <v>3</v>
      </c>
      <c r="G12" s="61"/>
      <c r="H12" s="62"/>
      <c r="I12" s="50"/>
      <c r="J12" s="61"/>
      <c r="M12" s="61"/>
      <c r="N12" s="62"/>
      <c r="O12" s="50"/>
      <c r="P12" s="61"/>
      <c r="R12" s="61"/>
      <c r="S12" s="62"/>
      <c r="T12" s="50"/>
      <c r="U12" s="61"/>
      <c r="W12" s="47" t="s">
        <v>270</v>
      </c>
    </row>
    <row r="13" customFormat="false" ht="15" hidden="false" customHeight="true" outlineLevel="0" collapsed="false">
      <c r="B13" s="61"/>
      <c r="C13" s="62"/>
      <c r="D13" s="50" t="n">
        <v>162000</v>
      </c>
      <c r="E13" s="61" t="n">
        <v>5</v>
      </c>
      <c r="G13" s="61"/>
      <c r="H13" s="62"/>
      <c r="I13" s="50"/>
      <c r="J13" s="61"/>
      <c r="M13" s="61"/>
      <c r="N13" s="62"/>
      <c r="O13" s="50"/>
      <c r="P13" s="61"/>
      <c r="R13" s="61"/>
      <c r="S13" s="62"/>
      <c r="T13" s="50"/>
      <c r="U13" s="61"/>
      <c r="W13" s="51" t="s">
        <v>271</v>
      </c>
    </row>
    <row r="14" customFormat="false" ht="15" hidden="false" customHeight="true" outlineLevel="0" collapsed="false">
      <c r="B14" s="61"/>
      <c r="C14" s="62"/>
      <c r="D14" s="50" t="n">
        <v>150000</v>
      </c>
      <c r="E14" s="61" t="n">
        <v>6</v>
      </c>
      <c r="G14" s="61"/>
      <c r="H14" s="62"/>
      <c r="I14" s="50"/>
      <c r="J14" s="61"/>
      <c r="M14" s="61"/>
      <c r="N14" s="62"/>
      <c r="O14" s="50"/>
      <c r="P14" s="61"/>
      <c r="R14" s="61"/>
      <c r="S14" s="62"/>
      <c r="T14" s="50"/>
      <c r="U14" s="61"/>
      <c r="W14" s="47" t="s">
        <v>272</v>
      </c>
    </row>
    <row r="15" customFormat="false" ht="21.75" hidden="false" customHeight="true" outlineLevel="0" collapsed="false">
      <c r="B15" s="61"/>
      <c r="C15" s="62"/>
      <c r="D15" s="50" t="n">
        <v>30000</v>
      </c>
      <c r="E15" s="61" t="n">
        <v>11</v>
      </c>
      <c r="G15" s="61"/>
      <c r="H15" s="62"/>
      <c r="I15" s="50"/>
      <c r="J15" s="61"/>
      <c r="M15" s="61"/>
      <c r="N15" s="62"/>
      <c r="O15" s="50"/>
      <c r="P15" s="61"/>
      <c r="R15" s="61"/>
      <c r="S15" s="62"/>
      <c r="T15" s="50"/>
      <c r="U15" s="61"/>
      <c r="W15" s="51" t="s">
        <v>273</v>
      </c>
    </row>
    <row r="16" customFormat="false" ht="15" hidden="false" customHeight="true" outlineLevel="0" collapsed="false">
      <c r="B16" s="61"/>
      <c r="C16" s="62"/>
      <c r="D16" s="50" t="n">
        <v>25000</v>
      </c>
      <c r="E16" s="61" t="n">
        <v>13</v>
      </c>
      <c r="G16" s="61"/>
      <c r="H16" s="62"/>
      <c r="I16" s="50"/>
      <c r="J16" s="61"/>
      <c r="M16" s="61"/>
      <c r="N16" s="62"/>
      <c r="O16" s="50"/>
      <c r="P16" s="61"/>
      <c r="R16" s="61"/>
      <c r="S16" s="62"/>
      <c r="T16" s="50"/>
      <c r="U16" s="61"/>
      <c r="W16" s="51" t="s">
        <v>274</v>
      </c>
    </row>
    <row r="17" customFormat="false" ht="15" hidden="false" customHeight="true" outlineLevel="0" collapsed="false">
      <c r="B17" s="61"/>
      <c r="C17" s="62"/>
      <c r="D17" s="50"/>
      <c r="E17" s="61"/>
      <c r="G17" s="61"/>
      <c r="H17" s="62"/>
      <c r="I17" s="50"/>
      <c r="J17" s="61"/>
      <c r="M17" s="61"/>
      <c r="N17" s="62"/>
      <c r="O17" s="50"/>
      <c r="P17" s="61"/>
      <c r="R17" s="61"/>
      <c r="S17" s="62"/>
      <c r="T17" s="50"/>
      <c r="U17" s="61"/>
      <c r="W17" s="47" t="s">
        <v>275</v>
      </c>
    </row>
    <row r="18" customFormat="false" ht="21.75" hidden="false" customHeight="true" outlineLevel="0" collapsed="false">
      <c r="B18" s="61"/>
      <c r="C18" s="62"/>
      <c r="D18" s="50"/>
      <c r="E18" s="61"/>
      <c r="G18" s="61"/>
      <c r="H18" s="62"/>
      <c r="I18" s="50"/>
      <c r="J18" s="61"/>
      <c r="M18" s="61"/>
      <c r="N18" s="62"/>
      <c r="O18" s="50"/>
      <c r="P18" s="61"/>
      <c r="R18" s="61"/>
      <c r="S18" s="62"/>
      <c r="T18" s="50"/>
      <c r="U18" s="61"/>
      <c r="W18" s="51" t="s">
        <v>276</v>
      </c>
    </row>
    <row r="19" customFormat="false" ht="21.75" hidden="false" customHeight="true" outlineLevel="0" collapsed="false">
      <c r="B19" s="61"/>
      <c r="C19" s="62"/>
      <c r="D19" s="50"/>
      <c r="E19" s="61"/>
      <c r="G19" s="61"/>
      <c r="H19" s="62"/>
      <c r="I19" s="50"/>
      <c r="J19" s="61"/>
      <c r="M19" s="61"/>
      <c r="N19" s="62"/>
      <c r="O19" s="50"/>
      <c r="P19" s="61"/>
      <c r="R19" s="61"/>
      <c r="S19" s="62"/>
      <c r="T19" s="50"/>
      <c r="U19" s="61"/>
      <c r="W19" s="51" t="s">
        <v>277</v>
      </c>
    </row>
    <row r="20" customFormat="false" ht="15" hidden="false" customHeight="true" outlineLevel="0" collapsed="false">
      <c r="B20" s="61"/>
      <c r="C20" s="62"/>
      <c r="D20" s="50"/>
      <c r="E20" s="61"/>
      <c r="G20" s="61"/>
      <c r="H20" s="62"/>
      <c r="I20" s="50"/>
      <c r="J20" s="61"/>
      <c r="M20" s="61"/>
      <c r="N20" s="62"/>
      <c r="O20" s="50"/>
      <c r="P20" s="61"/>
      <c r="R20" s="61"/>
      <c r="S20" s="62"/>
      <c r="T20" s="50"/>
      <c r="U20" s="61"/>
      <c r="W20" s="47" t="s">
        <v>278</v>
      </c>
    </row>
    <row r="21" customFormat="false" ht="15" hidden="false" customHeight="true" outlineLevel="0" collapsed="false">
      <c r="B21" s="61"/>
      <c r="C21" s="62"/>
      <c r="D21" s="50"/>
      <c r="E21" s="61"/>
      <c r="G21" s="61"/>
      <c r="H21" s="62"/>
      <c r="I21" s="50"/>
      <c r="J21" s="61"/>
      <c r="M21" s="61"/>
      <c r="N21" s="62"/>
      <c r="O21" s="50"/>
      <c r="P21" s="61"/>
      <c r="R21" s="61"/>
      <c r="S21" s="62"/>
      <c r="T21" s="50"/>
      <c r="U21" s="61"/>
      <c r="W21" s="51" t="s">
        <v>279</v>
      </c>
    </row>
    <row r="22" customFormat="false" ht="15" hidden="false" customHeight="true" outlineLevel="0" collapsed="false">
      <c r="B22" s="61"/>
      <c r="C22" s="62"/>
      <c r="D22" s="50"/>
      <c r="E22" s="61"/>
      <c r="G22" s="61"/>
      <c r="H22" s="62"/>
      <c r="I22" s="50"/>
      <c r="J22" s="61"/>
      <c r="M22" s="61"/>
      <c r="N22" s="62"/>
      <c r="O22" s="50"/>
      <c r="P22" s="61"/>
      <c r="R22" s="61"/>
      <c r="S22" s="62"/>
      <c r="T22" s="50"/>
      <c r="U22" s="61"/>
      <c r="W22" s="51" t="s">
        <v>280</v>
      </c>
    </row>
    <row r="23" customFormat="false" ht="15" hidden="false" customHeight="true" outlineLevel="0" collapsed="false">
      <c r="B23" s="61"/>
      <c r="C23" s="62"/>
      <c r="D23" s="50"/>
      <c r="E23" s="61"/>
      <c r="G23" s="61"/>
      <c r="H23" s="62"/>
      <c r="I23" s="50"/>
      <c r="J23" s="61"/>
      <c r="M23" s="61"/>
      <c r="N23" s="62"/>
      <c r="O23" s="50"/>
      <c r="P23" s="61"/>
      <c r="R23" s="61"/>
      <c r="S23" s="62"/>
      <c r="T23" s="50"/>
      <c r="U23" s="61"/>
      <c r="W23" s="51" t="s">
        <v>281</v>
      </c>
    </row>
    <row r="24" customFormat="false" ht="15" hidden="false" customHeight="true" outlineLevel="0" collapsed="false">
      <c r="B24" s="61"/>
      <c r="C24" s="62"/>
      <c r="D24" s="50"/>
      <c r="E24" s="61"/>
      <c r="G24" s="61"/>
      <c r="H24" s="62"/>
      <c r="I24" s="50"/>
      <c r="J24" s="61"/>
      <c r="M24" s="61"/>
      <c r="N24" s="62"/>
      <c r="O24" s="50"/>
      <c r="P24" s="61"/>
      <c r="R24" s="61"/>
      <c r="S24" s="62"/>
      <c r="T24" s="50"/>
      <c r="U24" s="61"/>
      <c r="W24" s="51" t="s">
        <v>282</v>
      </c>
    </row>
    <row r="25" customFormat="false" ht="15" hidden="false" customHeight="true" outlineLevel="0" collapsed="false">
      <c r="B25" s="63" t="s">
        <v>283</v>
      </c>
      <c r="C25" s="64" t="n">
        <f aca="false">SUM(C9:C24)</f>
        <v>960000</v>
      </c>
      <c r="D25" s="65" t="n">
        <f aca="false">SUM(D9:D24)</f>
        <v>857000</v>
      </c>
      <c r="E25" s="63" t="s">
        <v>283</v>
      </c>
      <c r="G25" s="63" t="s">
        <v>283</v>
      </c>
      <c r="H25" s="64" t="n">
        <f aca="false">SUM(H9:H24)</f>
        <v>20000</v>
      </c>
      <c r="I25" s="65" t="n">
        <f aca="false">SUM(I9:I24)</f>
        <v>0</v>
      </c>
      <c r="J25" s="63" t="s">
        <v>283</v>
      </c>
      <c r="M25" s="63" t="s">
        <v>283</v>
      </c>
      <c r="N25" s="64" t="n">
        <f aca="false">SUM(N9:N24)</f>
        <v>250000</v>
      </c>
      <c r="O25" s="65" t="n">
        <f aca="false">SUM(O9:O24)</f>
        <v>320000</v>
      </c>
      <c r="P25" s="63" t="s">
        <v>283</v>
      </c>
      <c r="R25" s="63" t="s">
        <v>283</v>
      </c>
      <c r="S25" s="64" t="n">
        <f aca="false">SUM(S9:S24)</f>
        <v>0</v>
      </c>
      <c r="T25" s="65" t="n">
        <f aca="false">SUM(T9:T24)</f>
        <v>0</v>
      </c>
      <c r="U25" s="63" t="s">
        <v>283</v>
      </c>
      <c r="W25" s="51" t="s">
        <v>284</v>
      </c>
    </row>
    <row r="26" customFormat="false" ht="15" hidden="false" customHeight="true" outlineLevel="0" collapsed="false">
      <c r="B26" s="66" t="s">
        <v>285</v>
      </c>
      <c r="C26" s="67" t="n">
        <f aca="false">C25-D25</f>
        <v>103000</v>
      </c>
      <c r="D26" s="68"/>
      <c r="G26" s="66" t="s">
        <v>285</v>
      </c>
      <c r="H26" s="67" t="n">
        <f aca="false">H25-I25</f>
        <v>20000</v>
      </c>
      <c r="I26" s="68"/>
      <c r="N26" s="69"/>
      <c r="O26" s="70" t="n">
        <f aca="false">O25-N25</f>
        <v>70000</v>
      </c>
      <c r="P26" s="71" t="s">
        <v>285</v>
      </c>
      <c r="S26" s="69"/>
      <c r="T26" s="70" t="n">
        <f aca="false">T25-S25</f>
        <v>0</v>
      </c>
      <c r="U26" s="71" t="s">
        <v>285</v>
      </c>
      <c r="W26" s="51" t="s">
        <v>286</v>
      </c>
    </row>
    <row r="27" customFormat="false" ht="15" hidden="false" customHeight="true" outlineLevel="0" collapsed="false">
      <c r="W27" s="51" t="s">
        <v>287</v>
      </c>
    </row>
    <row r="28" customFormat="false" ht="15" hidden="false" customHeight="true" outlineLevel="0" collapsed="false">
      <c r="B28" s="54" t="s">
        <v>221</v>
      </c>
      <c r="C28" s="54"/>
      <c r="D28" s="54"/>
      <c r="E28" s="54"/>
      <c r="G28" s="54" t="s">
        <v>218</v>
      </c>
      <c r="H28" s="54"/>
      <c r="I28" s="54"/>
      <c r="J28" s="54"/>
      <c r="M28" s="55" t="s">
        <v>288</v>
      </c>
      <c r="N28" s="55"/>
      <c r="O28" s="55"/>
      <c r="P28" s="55"/>
      <c r="R28" s="55" t="s">
        <v>289</v>
      </c>
      <c r="S28" s="55"/>
      <c r="T28" s="55"/>
      <c r="U28" s="55"/>
      <c r="W28" s="51" t="s">
        <v>290</v>
      </c>
    </row>
    <row r="29" customFormat="false" ht="15" hidden="false" customHeight="true" outlineLevel="0" collapsed="false">
      <c r="B29" s="56" t="s">
        <v>174</v>
      </c>
      <c r="C29" s="57" t="s">
        <v>261</v>
      </c>
      <c r="D29" s="56" t="s">
        <v>262</v>
      </c>
      <c r="E29" s="56" t="s">
        <v>174</v>
      </c>
      <c r="G29" s="56" t="s">
        <v>174</v>
      </c>
      <c r="H29" s="57" t="s">
        <v>261</v>
      </c>
      <c r="I29" s="56" t="s">
        <v>262</v>
      </c>
      <c r="J29" s="56" t="s">
        <v>174</v>
      </c>
      <c r="M29" s="56" t="s">
        <v>174</v>
      </c>
      <c r="N29" s="57" t="s">
        <v>263</v>
      </c>
      <c r="O29" s="56" t="s">
        <v>264</v>
      </c>
      <c r="P29" s="56" t="s">
        <v>174</v>
      </c>
      <c r="R29" s="56" t="s">
        <v>174</v>
      </c>
      <c r="S29" s="57" t="s">
        <v>263</v>
      </c>
      <c r="T29" s="56" t="s">
        <v>264</v>
      </c>
      <c r="U29" s="56" t="s">
        <v>174</v>
      </c>
      <c r="W29" s="51" t="s">
        <v>291</v>
      </c>
    </row>
    <row r="30" customFormat="false" ht="15" hidden="false" customHeight="true" outlineLevel="0" collapsed="false">
      <c r="B30" s="58" t="s">
        <v>266</v>
      </c>
      <c r="C30" s="59" t="n">
        <v>90000</v>
      </c>
      <c r="D30" s="60"/>
      <c r="E30" s="58"/>
      <c r="G30" s="58" t="s">
        <v>266</v>
      </c>
      <c r="H30" s="59" t="n">
        <v>32000</v>
      </c>
      <c r="I30" s="60"/>
      <c r="J30" s="58"/>
      <c r="M30" s="58"/>
      <c r="N30" s="59"/>
      <c r="O30" s="60"/>
      <c r="P30" s="58" t="s">
        <v>266</v>
      </c>
      <c r="R30" s="58"/>
      <c r="S30" s="59"/>
      <c r="T30" s="60"/>
      <c r="U30" s="58" t="s">
        <v>266</v>
      </c>
      <c r="W30" s="47" t="s">
        <v>292</v>
      </c>
    </row>
    <row r="31" customFormat="false" ht="15" hidden="false" customHeight="true" outlineLevel="0" collapsed="false">
      <c r="B31" s="61" t="s">
        <v>219</v>
      </c>
      <c r="C31" s="62" t="n">
        <v>944000</v>
      </c>
      <c r="D31" s="50" t="n">
        <v>850000</v>
      </c>
      <c r="E31" s="61" t="n">
        <v>10</v>
      </c>
      <c r="G31" s="61" t="n">
        <v>8</v>
      </c>
      <c r="H31" s="62" t="n">
        <v>444000</v>
      </c>
      <c r="I31" s="50" t="n">
        <v>439000</v>
      </c>
      <c r="J31" s="61" t="s">
        <v>224</v>
      </c>
      <c r="M31" s="61"/>
      <c r="N31" s="62"/>
      <c r="O31" s="50"/>
      <c r="P31" s="61"/>
      <c r="R31" s="61"/>
      <c r="S31" s="62"/>
      <c r="T31" s="50"/>
      <c r="U31" s="61"/>
      <c r="W31" s="51" t="s">
        <v>293</v>
      </c>
    </row>
    <row r="32" customFormat="false" ht="15" hidden="false" customHeight="true" outlineLevel="0" collapsed="false">
      <c r="B32" s="61"/>
      <c r="C32" s="62"/>
      <c r="D32" s="50" t="n">
        <v>10000</v>
      </c>
      <c r="E32" s="61" t="n">
        <v>14</v>
      </c>
      <c r="G32" s="61"/>
      <c r="H32" s="62"/>
      <c r="I32" s="50"/>
      <c r="J32" s="61"/>
      <c r="M32" s="61"/>
      <c r="N32" s="62"/>
      <c r="O32" s="50"/>
      <c r="P32" s="61"/>
      <c r="R32" s="61"/>
      <c r="S32" s="62"/>
      <c r="T32" s="50"/>
      <c r="U32" s="61"/>
    </row>
    <row r="33" customFormat="false" ht="15" hidden="false" customHeight="true" outlineLevel="0" collapsed="false">
      <c r="B33" s="61"/>
      <c r="C33" s="62"/>
      <c r="D33" s="50"/>
      <c r="E33" s="61"/>
      <c r="G33" s="61"/>
      <c r="H33" s="62"/>
      <c r="I33" s="50"/>
      <c r="J33" s="61"/>
      <c r="M33" s="61"/>
      <c r="N33" s="62"/>
      <c r="O33" s="50"/>
      <c r="P33" s="61"/>
      <c r="R33" s="61"/>
      <c r="S33" s="62"/>
      <c r="T33" s="50"/>
      <c r="U33" s="61"/>
    </row>
    <row r="34" customFormat="false" ht="15" hidden="false" customHeight="true" outlineLevel="0" collapsed="false">
      <c r="B34" s="61"/>
      <c r="C34" s="62"/>
      <c r="D34" s="50"/>
      <c r="E34" s="61"/>
      <c r="G34" s="61"/>
      <c r="H34" s="62"/>
      <c r="I34" s="50"/>
      <c r="J34" s="61"/>
      <c r="M34" s="61"/>
      <c r="N34" s="62"/>
      <c r="O34" s="50"/>
      <c r="P34" s="61"/>
      <c r="R34" s="61"/>
      <c r="S34" s="62"/>
      <c r="T34" s="50"/>
      <c r="U34" s="61"/>
    </row>
    <row r="35" customFormat="false" ht="15" hidden="false" customHeight="true" outlineLevel="0" collapsed="false">
      <c r="B35" s="61"/>
      <c r="C35" s="62"/>
      <c r="D35" s="50"/>
      <c r="E35" s="61"/>
      <c r="G35" s="61"/>
      <c r="H35" s="62"/>
      <c r="I35" s="50"/>
      <c r="J35" s="61"/>
      <c r="M35" s="61"/>
      <c r="N35" s="62"/>
      <c r="O35" s="50"/>
      <c r="P35" s="61"/>
      <c r="R35" s="61"/>
      <c r="S35" s="62"/>
      <c r="T35" s="50"/>
      <c r="U35" s="61"/>
    </row>
    <row r="36" customFormat="false" ht="15" hidden="false" customHeight="true" outlineLevel="0" collapsed="false">
      <c r="B36" s="61"/>
      <c r="C36" s="62"/>
      <c r="D36" s="50"/>
      <c r="E36" s="61"/>
      <c r="G36" s="61"/>
      <c r="H36" s="62"/>
      <c r="I36" s="50"/>
      <c r="J36" s="61"/>
      <c r="M36" s="61"/>
      <c r="N36" s="62"/>
      <c r="O36" s="50"/>
      <c r="P36" s="61"/>
      <c r="R36" s="61"/>
      <c r="S36" s="62"/>
      <c r="T36" s="50"/>
      <c r="U36" s="61"/>
    </row>
    <row r="37" customFormat="false" ht="15" hidden="false" customHeight="true" outlineLevel="0" collapsed="false">
      <c r="B37" s="61"/>
      <c r="C37" s="62"/>
      <c r="D37" s="50"/>
      <c r="E37" s="61"/>
      <c r="G37" s="61"/>
      <c r="H37" s="62"/>
      <c r="I37" s="50"/>
      <c r="J37" s="61"/>
      <c r="M37" s="61"/>
      <c r="N37" s="62"/>
      <c r="O37" s="50"/>
      <c r="P37" s="61"/>
      <c r="R37" s="61"/>
      <c r="S37" s="62"/>
      <c r="T37" s="50"/>
      <c r="U37" s="61"/>
    </row>
    <row r="38" customFormat="false" ht="15" hidden="false" customHeight="true" outlineLevel="0" collapsed="false">
      <c r="B38" s="61"/>
      <c r="C38" s="62"/>
      <c r="D38" s="50"/>
      <c r="E38" s="61"/>
      <c r="G38" s="61"/>
      <c r="H38" s="62"/>
      <c r="I38" s="50"/>
      <c r="J38" s="61"/>
      <c r="M38" s="61"/>
      <c r="N38" s="62"/>
      <c r="O38" s="50"/>
      <c r="P38" s="61"/>
      <c r="R38" s="61"/>
      <c r="S38" s="62"/>
      <c r="T38" s="50"/>
      <c r="U38" s="61"/>
    </row>
    <row r="39" customFormat="false" ht="15" hidden="false" customHeight="true" outlineLevel="0" collapsed="false">
      <c r="B39" s="61"/>
      <c r="C39" s="62"/>
      <c r="D39" s="50"/>
      <c r="E39" s="61"/>
      <c r="G39" s="61"/>
      <c r="H39" s="62"/>
      <c r="I39" s="50"/>
      <c r="J39" s="61"/>
      <c r="M39" s="61"/>
      <c r="N39" s="62"/>
      <c r="O39" s="50"/>
      <c r="P39" s="61"/>
      <c r="R39" s="61"/>
      <c r="S39" s="62"/>
      <c r="T39" s="50"/>
      <c r="U39" s="61"/>
    </row>
    <row r="40" customFormat="false" ht="15" hidden="false" customHeight="true" outlineLevel="0" collapsed="false">
      <c r="B40" s="61"/>
      <c r="C40" s="62"/>
      <c r="D40" s="50"/>
      <c r="E40" s="61"/>
      <c r="G40" s="61"/>
      <c r="H40" s="62"/>
      <c r="I40" s="50"/>
      <c r="J40" s="61"/>
      <c r="M40" s="61"/>
      <c r="N40" s="62"/>
      <c r="O40" s="50"/>
      <c r="P40" s="61"/>
      <c r="R40" s="61"/>
      <c r="S40" s="62"/>
      <c r="T40" s="50"/>
      <c r="U40" s="61"/>
    </row>
    <row r="41" customFormat="false" ht="15" hidden="false" customHeight="true" outlineLevel="0" collapsed="false">
      <c r="B41" s="61"/>
      <c r="C41" s="62"/>
      <c r="D41" s="50"/>
      <c r="E41" s="61"/>
      <c r="G41" s="61"/>
      <c r="H41" s="62"/>
      <c r="I41" s="50"/>
      <c r="J41" s="61"/>
      <c r="M41" s="61"/>
      <c r="N41" s="62"/>
      <c r="O41" s="50"/>
      <c r="P41" s="61"/>
      <c r="R41" s="61"/>
      <c r="S41" s="62"/>
      <c r="T41" s="50"/>
      <c r="U41" s="61"/>
    </row>
    <row r="42" customFormat="false" ht="15" hidden="false" customHeight="true" outlineLevel="0" collapsed="false">
      <c r="B42" s="61"/>
      <c r="C42" s="62"/>
      <c r="D42" s="50"/>
      <c r="E42" s="61"/>
      <c r="G42" s="61"/>
      <c r="H42" s="62"/>
      <c r="I42" s="50"/>
      <c r="J42" s="61"/>
      <c r="M42" s="61"/>
      <c r="N42" s="62"/>
      <c r="O42" s="50"/>
      <c r="P42" s="61"/>
      <c r="R42" s="61"/>
      <c r="S42" s="62"/>
      <c r="T42" s="50"/>
      <c r="U42" s="61"/>
    </row>
    <row r="43" customFormat="false" ht="15" hidden="false" customHeight="true" outlineLevel="0" collapsed="false">
      <c r="B43" s="61"/>
      <c r="C43" s="62"/>
      <c r="D43" s="50"/>
      <c r="E43" s="61"/>
      <c r="G43" s="61"/>
      <c r="H43" s="62"/>
      <c r="I43" s="50"/>
      <c r="J43" s="61"/>
      <c r="M43" s="61"/>
      <c r="N43" s="62"/>
      <c r="O43" s="50"/>
      <c r="P43" s="61"/>
      <c r="R43" s="61"/>
      <c r="S43" s="62"/>
      <c r="T43" s="50"/>
      <c r="U43" s="61"/>
    </row>
    <row r="44" customFormat="false" ht="15" hidden="false" customHeight="true" outlineLevel="0" collapsed="false">
      <c r="B44" s="61"/>
      <c r="C44" s="62"/>
      <c r="D44" s="50"/>
      <c r="E44" s="61"/>
      <c r="G44" s="61"/>
      <c r="H44" s="62"/>
      <c r="I44" s="50"/>
      <c r="J44" s="61"/>
      <c r="M44" s="61"/>
      <c r="N44" s="62"/>
      <c r="O44" s="50"/>
      <c r="P44" s="61"/>
      <c r="R44" s="61"/>
      <c r="S44" s="62"/>
      <c r="T44" s="50"/>
      <c r="U44" s="61"/>
    </row>
    <row r="45" customFormat="false" ht="15" hidden="false" customHeight="true" outlineLevel="0" collapsed="false">
      <c r="B45" s="61"/>
      <c r="C45" s="62"/>
      <c r="D45" s="50"/>
      <c r="E45" s="61"/>
      <c r="G45" s="61"/>
      <c r="H45" s="62"/>
      <c r="I45" s="50"/>
      <c r="J45" s="61"/>
      <c r="M45" s="61"/>
      <c r="N45" s="62"/>
      <c r="O45" s="50"/>
      <c r="P45" s="61"/>
      <c r="R45" s="61"/>
      <c r="S45" s="62"/>
      <c r="T45" s="50"/>
      <c r="U45" s="61"/>
    </row>
    <row r="46" customFormat="false" ht="15" hidden="false" customHeight="true" outlineLevel="0" collapsed="false">
      <c r="B46" s="63" t="s">
        <v>283</v>
      </c>
      <c r="C46" s="64" t="n">
        <f aca="false">SUM(C30:C45)</f>
        <v>1034000</v>
      </c>
      <c r="D46" s="65" t="n">
        <f aca="false">SUM(D30:D45)</f>
        <v>860000</v>
      </c>
      <c r="E46" s="63" t="s">
        <v>283</v>
      </c>
      <c r="G46" s="63" t="s">
        <v>283</v>
      </c>
      <c r="H46" s="64" t="n">
        <f aca="false">SUM(H30:H45)</f>
        <v>476000</v>
      </c>
      <c r="I46" s="65" t="n">
        <f aca="false">SUM(I30:I45)</f>
        <v>439000</v>
      </c>
      <c r="J46" s="63" t="s">
        <v>283</v>
      </c>
      <c r="M46" s="63" t="s">
        <v>283</v>
      </c>
      <c r="N46" s="64" t="n">
        <f aca="false">SUM(N30:N45)</f>
        <v>0</v>
      </c>
      <c r="O46" s="65" t="n">
        <f aca="false">SUM(O30:O45)</f>
        <v>0</v>
      </c>
      <c r="P46" s="63" t="s">
        <v>283</v>
      </c>
      <c r="R46" s="63" t="s">
        <v>283</v>
      </c>
      <c r="S46" s="64" t="n">
        <f aca="false">SUM(S30:S45)</f>
        <v>0</v>
      </c>
      <c r="T46" s="65" t="n">
        <f aca="false">SUM(T30:T45)</f>
        <v>0</v>
      </c>
      <c r="U46" s="63" t="s">
        <v>283</v>
      </c>
    </row>
    <row r="47" customFormat="false" ht="15" hidden="false" customHeight="true" outlineLevel="0" collapsed="false">
      <c r="B47" s="66" t="s">
        <v>285</v>
      </c>
      <c r="C47" s="67" t="n">
        <f aca="false">C46-D46</f>
        <v>174000</v>
      </c>
      <c r="D47" s="68"/>
      <c r="G47" s="66" t="s">
        <v>285</v>
      </c>
      <c r="H47" s="67" t="n">
        <f aca="false">H46-I46</f>
        <v>37000</v>
      </c>
      <c r="I47" s="68"/>
      <c r="N47" s="69"/>
      <c r="O47" s="70" t="n">
        <f aca="false">O46-N46</f>
        <v>0</v>
      </c>
      <c r="P47" s="71" t="s">
        <v>285</v>
      </c>
      <c r="S47" s="69"/>
      <c r="T47" s="70" t="n">
        <f aca="false">T46-S46</f>
        <v>0</v>
      </c>
      <c r="U47" s="71" t="s">
        <v>285</v>
      </c>
    </row>
    <row r="49" customFormat="false" ht="15" hidden="false" customHeight="true" outlineLevel="0" collapsed="false">
      <c r="B49" s="54" t="s">
        <v>196</v>
      </c>
      <c r="C49" s="54"/>
      <c r="D49" s="54"/>
      <c r="E49" s="54"/>
      <c r="G49" s="54" t="s">
        <v>205</v>
      </c>
      <c r="H49" s="54"/>
      <c r="I49" s="54"/>
      <c r="J49" s="54"/>
      <c r="M49" s="55" t="s">
        <v>294</v>
      </c>
      <c r="N49" s="55"/>
      <c r="O49" s="55"/>
      <c r="P49" s="55"/>
      <c r="R49" s="55" t="s">
        <v>295</v>
      </c>
      <c r="S49" s="55"/>
      <c r="T49" s="55"/>
      <c r="U49" s="55"/>
    </row>
    <row r="50" customFormat="false" ht="15" hidden="false" customHeight="true" outlineLevel="0" collapsed="false">
      <c r="B50" s="56" t="s">
        <v>174</v>
      </c>
      <c r="C50" s="57" t="s">
        <v>261</v>
      </c>
      <c r="D50" s="56" t="s">
        <v>262</v>
      </c>
      <c r="E50" s="56" t="s">
        <v>174</v>
      </c>
      <c r="G50" s="56" t="s">
        <v>174</v>
      </c>
      <c r="H50" s="57" t="s">
        <v>261</v>
      </c>
      <c r="I50" s="56" t="s">
        <v>262</v>
      </c>
      <c r="J50" s="56" t="s">
        <v>174</v>
      </c>
      <c r="M50" s="56" t="s">
        <v>174</v>
      </c>
      <c r="N50" s="57" t="s">
        <v>263</v>
      </c>
      <c r="O50" s="56" t="s">
        <v>264</v>
      </c>
      <c r="P50" s="56" t="s">
        <v>174</v>
      </c>
      <c r="R50" s="56" t="s">
        <v>174</v>
      </c>
      <c r="S50" s="57" t="s">
        <v>263</v>
      </c>
      <c r="T50" s="56" t="s">
        <v>264</v>
      </c>
      <c r="U50" s="56" t="s">
        <v>174</v>
      </c>
    </row>
    <row r="51" customFormat="false" ht="15" hidden="false" customHeight="true" outlineLevel="0" collapsed="false">
      <c r="B51" s="58" t="s">
        <v>266</v>
      </c>
      <c r="C51" s="59"/>
      <c r="D51" s="60"/>
      <c r="E51" s="58"/>
      <c r="G51" s="58" t="s">
        <v>266</v>
      </c>
      <c r="H51" s="59"/>
      <c r="I51" s="60"/>
      <c r="J51" s="58"/>
      <c r="M51" s="58"/>
      <c r="N51" s="59"/>
      <c r="O51" s="60"/>
      <c r="P51" s="58" t="s">
        <v>266</v>
      </c>
      <c r="R51" s="58"/>
      <c r="S51" s="59"/>
      <c r="T51" s="60"/>
      <c r="U51" s="58" t="s">
        <v>266</v>
      </c>
    </row>
    <row r="52" customFormat="false" ht="15" hidden="false" customHeight="true" outlineLevel="0" collapsed="false">
      <c r="B52" s="61" t="n">
        <v>2</v>
      </c>
      <c r="C52" s="62" t="n">
        <v>270000</v>
      </c>
      <c r="D52" s="50" t="n">
        <v>242000</v>
      </c>
      <c r="E52" s="61" t="n">
        <v>4</v>
      </c>
      <c r="G52" s="61" t="n">
        <v>4</v>
      </c>
      <c r="H52" s="62" t="n">
        <v>242000</v>
      </c>
      <c r="I52" s="50" t="n">
        <v>444000</v>
      </c>
      <c r="J52" s="61" t="n">
        <v>8</v>
      </c>
      <c r="M52" s="61"/>
      <c r="N52" s="62"/>
      <c r="O52" s="50"/>
      <c r="P52" s="61"/>
      <c r="R52" s="61"/>
      <c r="S52" s="62"/>
      <c r="T52" s="50"/>
      <c r="U52" s="61"/>
    </row>
    <row r="53" customFormat="false" ht="15" hidden="false" customHeight="true" outlineLevel="0" collapsed="false">
      <c r="B53" s="61"/>
      <c r="C53" s="62"/>
      <c r="D53" s="50"/>
      <c r="E53" s="61"/>
      <c r="G53" s="61" t="n">
        <v>5</v>
      </c>
      <c r="H53" s="62" t="n">
        <v>162000</v>
      </c>
      <c r="I53" s="50"/>
      <c r="J53" s="61"/>
      <c r="M53" s="61"/>
      <c r="N53" s="62"/>
      <c r="O53" s="50"/>
      <c r="P53" s="61"/>
      <c r="R53" s="61"/>
      <c r="S53" s="62"/>
      <c r="T53" s="50"/>
      <c r="U53" s="61"/>
    </row>
    <row r="54" customFormat="false" ht="15" hidden="false" customHeight="true" outlineLevel="0" collapsed="false">
      <c r="B54" s="61"/>
      <c r="C54" s="62"/>
      <c r="D54" s="50"/>
      <c r="E54" s="61"/>
      <c r="G54" s="61" t="n">
        <v>7</v>
      </c>
      <c r="H54" s="62" t="n">
        <v>40000</v>
      </c>
      <c r="I54" s="50"/>
      <c r="J54" s="61"/>
      <c r="M54" s="61"/>
      <c r="N54" s="62"/>
      <c r="O54" s="50"/>
      <c r="P54" s="61"/>
      <c r="R54" s="61"/>
      <c r="S54" s="62"/>
      <c r="T54" s="50"/>
      <c r="U54" s="61"/>
    </row>
    <row r="55" customFormat="false" ht="15" hidden="false" customHeight="true" outlineLevel="0" collapsed="false">
      <c r="B55" s="61"/>
      <c r="C55" s="62"/>
      <c r="D55" s="50"/>
      <c r="E55" s="61"/>
      <c r="G55" s="61"/>
      <c r="H55" s="62"/>
      <c r="I55" s="50"/>
      <c r="J55" s="61"/>
      <c r="M55" s="61"/>
      <c r="N55" s="62"/>
      <c r="O55" s="50"/>
      <c r="P55" s="61"/>
      <c r="R55" s="61"/>
      <c r="S55" s="62"/>
      <c r="T55" s="50"/>
      <c r="U55" s="61"/>
    </row>
    <row r="56" customFormat="false" ht="15" hidden="false" customHeight="true" outlineLevel="0" collapsed="false">
      <c r="B56" s="61"/>
      <c r="C56" s="62"/>
      <c r="D56" s="50"/>
      <c r="E56" s="61"/>
      <c r="G56" s="61"/>
      <c r="H56" s="62"/>
      <c r="I56" s="50"/>
      <c r="J56" s="61"/>
      <c r="M56" s="61"/>
      <c r="N56" s="62"/>
      <c r="O56" s="50"/>
      <c r="P56" s="61"/>
      <c r="R56" s="61"/>
      <c r="S56" s="62"/>
      <c r="T56" s="50"/>
      <c r="U56" s="61"/>
    </row>
    <row r="57" customFormat="false" ht="15" hidden="false" customHeight="true" outlineLevel="0" collapsed="false">
      <c r="B57" s="61"/>
      <c r="C57" s="62"/>
      <c r="D57" s="50"/>
      <c r="E57" s="61"/>
      <c r="G57" s="61"/>
      <c r="H57" s="62"/>
      <c r="I57" s="50"/>
      <c r="J57" s="61"/>
      <c r="M57" s="61"/>
      <c r="N57" s="62"/>
      <c r="O57" s="50"/>
      <c r="P57" s="61"/>
      <c r="R57" s="61"/>
      <c r="S57" s="62"/>
      <c r="T57" s="50"/>
      <c r="U57" s="61"/>
    </row>
    <row r="58" customFormat="false" ht="15" hidden="false" customHeight="true" outlineLevel="0" collapsed="false">
      <c r="B58" s="61"/>
      <c r="C58" s="62"/>
      <c r="D58" s="50"/>
      <c r="E58" s="61"/>
      <c r="G58" s="61"/>
      <c r="H58" s="62"/>
      <c r="I58" s="50"/>
      <c r="J58" s="61"/>
      <c r="M58" s="61"/>
      <c r="N58" s="62"/>
      <c r="O58" s="50"/>
      <c r="P58" s="61"/>
      <c r="R58" s="61"/>
      <c r="S58" s="62"/>
      <c r="T58" s="50"/>
      <c r="U58" s="61"/>
    </row>
    <row r="59" customFormat="false" ht="15" hidden="false" customHeight="true" outlineLevel="0" collapsed="false">
      <c r="B59" s="61"/>
      <c r="C59" s="62"/>
      <c r="D59" s="50"/>
      <c r="E59" s="61"/>
      <c r="G59" s="61"/>
      <c r="H59" s="62"/>
      <c r="I59" s="50"/>
      <c r="J59" s="61"/>
      <c r="M59" s="61"/>
      <c r="N59" s="62"/>
      <c r="O59" s="50"/>
      <c r="P59" s="61"/>
      <c r="R59" s="61"/>
      <c r="S59" s="62"/>
      <c r="T59" s="50"/>
      <c r="U59" s="61"/>
    </row>
    <row r="60" customFormat="false" ht="15" hidden="false" customHeight="true" outlineLevel="0" collapsed="false">
      <c r="B60" s="61"/>
      <c r="C60" s="62"/>
      <c r="D60" s="50"/>
      <c r="E60" s="61"/>
      <c r="G60" s="61"/>
      <c r="H60" s="62"/>
      <c r="I60" s="50"/>
      <c r="J60" s="61"/>
      <c r="M60" s="61"/>
      <c r="N60" s="62"/>
      <c r="O60" s="50"/>
      <c r="P60" s="61"/>
      <c r="R60" s="61"/>
      <c r="S60" s="62"/>
      <c r="T60" s="50"/>
      <c r="U60" s="61"/>
    </row>
    <row r="61" customFormat="false" ht="15" hidden="false" customHeight="true" outlineLevel="0" collapsed="false">
      <c r="B61" s="61"/>
      <c r="C61" s="62"/>
      <c r="D61" s="50"/>
      <c r="E61" s="61"/>
      <c r="G61" s="61"/>
      <c r="H61" s="62"/>
      <c r="I61" s="50"/>
      <c r="J61" s="61"/>
      <c r="M61" s="61"/>
      <c r="N61" s="62"/>
      <c r="O61" s="50"/>
      <c r="P61" s="61"/>
      <c r="R61" s="61"/>
      <c r="S61" s="62"/>
      <c r="T61" s="50"/>
      <c r="U61" s="61"/>
    </row>
    <row r="62" customFormat="false" ht="15" hidden="false" customHeight="true" outlineLevel="0" collapsed="false">
      <c r="B62" s="61"/>
      <c r="C62" s="62"/>
      <c r="D62" s="50"/>
      <c r="E62" s="61"/>
      <c r="G62" s="61"/>
      <c r="H62" s="62"/>
      <c r="I62" s="50"/>
      <c r="J62" s="61"/>
      <c r="M62" s="61"/>
      <c r="N62" s="62"/>
      <c r="O62" s="50"/>
      <c r="P62" s="61"/>
      <c r="R62" s="61"/>
      <c r="S62" s="62"/>
      <c r="T62" s="50"/>
      <c r="U62" s="61"/>
    </row>
    <row r="63" customFormat="false" ht="15" hidden="false" customHeight="true" outlineLevel="0" collapsed="false">
      <c r="B63" s="61"/>
      <c r="C63" s="62"/>
      <c r="D63" s="50"/>
      <c r="E63" s="61"/>
      <c r="G63" s="61"/>
      <c r="H63" s="62"/>
      <c r="I63" s="50"/>
      <c r="J63" s="61"/>
      <c r="M63" s="61"/>
      <c r="N63" s="62"/>
      <c r="O63" s="50"/>
      <c r="P63" s="61"/>
      <c r="R63" s="61"/>
      <c r="S63" s="62"/>
      <c r="T63" s="50"/>
      <c r="U63" s="61"/>
    </row>
    <row r="64" customFormat="false" ht="15" hidden="false" customHeight="true" outlineLevel="0" collapsed="false">
      <c r="B64" s="61"/>
      <c r="C64" s="62"/>
      <c r="D64" s="50"/>
      <c r="E64" s="61"/>
      <c r="G64" s="61"/>
      <c r="H64" s="62"/>
      <c r="I64" s="50"/>
      <c r="J64" s="61"/>
      <c r="M64" s="61"/>
      <c r="N64" s="62"/>
      <c r="O64" s="50"/>
      <c r="P64" s="61"/>
      <c r="R64" s="61"/>
      <c r="S64" s="62"/>
      <c r="T64" s="50"/>
      <c r="U64" s="61"/>
    </row>
    <row r="65" customFormat="false" ht="15" hidden="false" customHeight="true" outlineLevel="0" collapsed="false">
      <c r="B65" s="61"/>
      <c r="C65" s="62"/>
      <c r="D65" s="50"/>
      <c r="E65" s="61"/>
      <c r="G65" s="61"/>
      <c r="H65" s="62"/>
      <c r="I65" s="50"/>
      <c r="J65" s="61"/>
      <c r="M65" s="61"/>
      <c r="N65" s="62"/>
      <c r="O65" s="50"/>
      <c r="P65" s="61"/>
      <c r="R65" s="61"/>
      <c r="S65" s="62"/>
      <c r="T65" s="50"/>
      <c r="U65" s="61"/>
    </row>
    <row r="66" customFormat="false" ht="15" hidden="false" customHeight="true" outlineLevel="0" collapsed="false">
      <c r="B66" s="61"/>
      <c r="C66" s="62"/>
      <c r="D66" s="50"/>
      <c r="E66" s="61"/>
      <c r="G66" s="61"/>
      <c r="H66" s="62"/>
      <c r="I66" s="50"/>
      <c r="J66" s="61"/>
      <c r="M66" s="61"/>
      <c r="N66" s="62"/>
      <c r="O66" s="50"/>
      <c r="P66" s="61"/>
      <c r="R66" s="61"/>
      <c r="S66" s="62"/>
      <c r="T66" s="50"/>
      <c r="U66" s="61"/>
    </row>
    <row r="67" customFormat="false" ht="15" hidden="false" customHeight="true" outlineLevel="0" collapsed="false">
      <c r="B67" s="63" t="s">
        <v>283</v>
      </c>
      <c r="C67" s="64" t="n">
        <f aca="false">SUM(C51:C66)</f>
        <v>270000</v>
      </c>
      <c r="D67" s="65" t="n">
        <f aca="false">SUM(D51:D66)</f>
        <v>242000</v>
      </c>
      <c r="E67" s="63" t="s">
        <v>283</v>
      </c>
      <c r="G67" s="63" t="s">
        <v>283</v>
      </c>
      <c r="H67" s="64" t="n">
        <f aca="false">SUM(H51:H66)</f>
        <v>444000</v>
      </c>
      <c r="I67" s="65" t="n">
        <f aca="false">SUM(I51:I66)</f>
        <v>444000</v>
      </c>
      <c r="J67" s="63" t="s">
        <v>283</v>
      </c>
      <c r="M67" s="63" t="s">
        <v>283</v>
      </c>
      <c r="N67" s="64" t="n">
        <f aca="false">SUM(N51:N66)</f>
        <v>0</v>
      </c>
      <c r="O67" s="65" t="n">
        <f aca="false">SUM(O51:O66)</f>
        <v>0</v>
      </c>
      <c r="P67" s="63" t="s">
        <v>283</v>
      </c>
      <c r="R67" s="63" t="s">
        <v>283</v>
      </c>
      <c r="S67" s="64" t="n">
        <f aca="false">SUM(S51:S66)</f>
        <v>0</v>
      </c>
      <c r="T67" s="65" t="n">
        <f aca="false">SUM(T51:T66)</f>
        <v>0</v>
      </c>
      <c r="U67" s="63" t="s">
        <v>283</v>
      </c>
    </row>
    <row r="68" customFormat="false" ht="15" hidden="false" customHeight="true" outlineLevel="0" collapsed="false">
      <c r="B68" s="66" t="s">
        <v>285</v>
      </c>
      <c r="C68" s="67" t="n">
        <f aca="false">C67-D67</f>
        <v>28000</v>
      </c>
      <c r="D68" s="68"/>
      <c r="G68" s="66" t="s">
        <v>285</v>
      </c>
      <c r="H68" s="67" t="n">
        <f aca="false">H67-I67</f>
        <v>0</v>
      </c>
      <c r="I68" s="68"/>
      <c r="N68" s="69"/>
      <c r="O68" s="70" t="n">
        <f aca="false">O67-N67</f>
        <v>0</v>
      </c>
      <c r="P68" s="71" t="s">
        <v>285</v>
      </c>
      <c r="S68" s="69"/>
      <c r="T68" s="70" t="n">
        <f aca="false">T67-S67</f>
        <v>0</v>
      </c>
      <c r="U68" s="71" t="s">
        <v>285</v>
      </c>
    </row>
    <row r="70" customFormat="false" ht="15" hidden="false" customHeight="true" outlineLevel="0" collapsed="false">
      <c r="B70" s="54" t="s">
        <v>296</v>
      </c>
      <c r="C70" s="54"/>
      <c r="D70" s="54"/>
      <c r="E70" s="54"/>
      <c r="G70" s="54" t="s">
        <v>249</v>
      </c>
      <c r="H70" s="54"/>
      <c r="I70" s="54"/>
      <c r="J70" s="54"/>
      <c r="M70" s="55" t="s">
        <v>297</v>
      </c>
      <c r="N70" s="55"/>
      <c r="O70" s="55"/>
      <c r="P70" s="55"/>
      <c r="R70" s="55" t="s">
        <v>188</v>
      </c>
      <c r="S70" s="55"/>
      <c r="T70" s="55"/>
      <c r="U70" s="55"/>
    </row>
    <row r="71" customFormat="false" ht="15" hidden="false" customHeight="true" outlineLevel="0" collapsed="false">
      <c r="B71" s="56" t="s">
        <v>174</v>
      </c>
      <c r="C71" s="57" t="s">
        <v>261</v>
      </c>
      <c r="D71" s="56" t="s">
        <v>262</v>
      </c>
      <c r="E71" s="56" t="s">
        <v>174</v>
      </c>
      <c r="G71" s="56" t="s">
        <v>174</v>
      </c>
      <c r="H71" s="57" t="s">
        <v>261</v>
      </c>
      <c r="I71" s="56" t="s">
        <v>262</v>
      </c>
      <c r="J71" s="56" t="s">
        <v>174</v>
      </c>
      <c r="M71" s="56" t="s">
        <v>174</v>
      </c>
      <c r="N71" s="57" t="s">
        <v>263</v>
      </c>
      <c r="O71" s="56" t="s">
        <v>264</v>
      </c>
      <c r="P71" s="56" t="s">
        <v>174</v>
      </c>
      <c r="R71" s="56" t="s">
        <v>174</v>
      </c>
      <c r="S71" s="57" t="s">
        <v>263</v>
      </c>
      <c r="T71" s="56" t="s">
        <v>264</v>
      </c>
      <c r="U71" s="56" t="s">
        <v>174</v>
      </c>
    </row>
    <row r="72" customFormat="false" ht="15" hidden="false" customHeight="true" outlineLevel="0" collapsed="false">
      <c r="B72" s="58" t="s">
        <v>266</v>
      </c>
      <c r="C72" s="59" t="n">
        <v>300000</v>
      </c>
      <c r="D72" s="60"/>
      <c r="E72" s="58"/>
      <c r="G72" s="58" t="s">
        <v>266</v>
      </c>
      <c r="H72" s="59" t="n">
        <v>6000</v>
      </c>
      <c r="I72" s="60"/>
      <c r="J72" s="58"/>
      <c r="M72" s="58"/>
      <c r="N72" s="59"/>
      <c r="O72" s="60"/>
      <c r="P72" s="58" t="s">
        <v>266</v>
      </c>
      <c r="R72" s="58"/>
      <c r="S72" s="59"/>
      <c r="T72" s="60"/>
      <c r="U72" s="58" t="s">
        <v>266</v>
      </c>
    </row>
    <row r="73" customFormat="false" ht="15" hidden="false" customHeight="true" outlineLevel="0" collapsed="false">
      <c r="B73" s="61"/>
      <c r="C73" s="62"/>
      <c r="D73" s="50"/>
      <c r="E73" s="61"/>
      <c r="G73" s="61"/>
      <c r="H73" s="62"/>
      <c r="I73" s="50" t="n">
        <v>6000</v>
      </c>
      <c r="J73" s="61" t="s">
        <v>246</v>
      </c>
      <c r="M73" s="61"/>
      <c r="N73" s="62"/>
      <c r="O73" s="50"/>
      <c r="P73" s="61"/>
      <c r="R73" s="61" t="s">
        <v>190</v>
      </c>
      <c r="S73" s="62" t="n">
        <v>160000</v>
      </c>
      <c r="T73" s="50" t="n">
        <v>160000</v>
      </c>
      <c r="U73" s="61" t="s">
        <v>180</v>
      </c>
    </row>
    <row r="74" customFormat="false" ht="15" hidden="false" customHeight="true" outlineLevel="0" collapsed="false">
      <c r="B74" s="61"/>
      <c r="C74" s="62"/>
      <c r="D74" s="50"/>
      <c r="E74" s="61"/>
      <c r="G74" s="61"/>
      <c r="H74" s="62"/>
      <c r="I74" s="50"/>
      <c r="J74" s="61"/>
      <c r="M74" s="61"/>
      <c r="N74" s="62"/>
      <c r="O74" s="50"/>
      <c r="P74" s="61"/>
      <c r="R74" s="61"/>
      <c r="S74" s="62"/>
      <c r="T74" s="50"/>
      <c r="U74" s="61"/>
    </row>
    <row r="75" customFormat="false" ht="15" hidden="false" customHeight="true" outlineLevel="0" collapsed="false">
      <c r="B75" s="61"/>
      <c r="C75" s="62"/>
      <c r="D75" s="50"/>
      <c r="E75" s="61"/>
      <c r="G75" s="61"/>
      <c r="H75" s="62"/>
      <c r="I75" s="50"/>
      <c r="J75" s="61"/>
      <c r="M75" s="61"/>
      <c r="N75" s="62"/>
      <c r="O75" s="50"/>
      <c r="P75" s="61"/>
      <c r="R75" s="61"/>
      <c r="S75" s="62"/>
      <c r="T75" s="50"/>
      <c r="U75" s="61"/>
    </row>
    <row r="76" customFormat="false" ht="15" hidden="false" customHeight="true" outlineLevel="0" collapsed="false">
      <c r="B76" s="61"/>
      <c r="C76" s="62"/>
      <c r="D76" s="50"/>
      <c r="E76" s="61"/>
      <c r="G76" s="61"/>
      <c r="H76" s="62"/>
      <c r="I76" s="50"/>
      <c r="J76" s="61"/>
      <c r="M76" s="61"/>
      <c r="N76" s="62"/>
      <c r="O76" s="50"/>
      <c r="P76" s="61"/>
      <c r="R76" s="61"/>
      <c r="S76" s="62"/>
      <c r="T76" s="50"/>
      <c r="U76" s="61"/>
    </row>
    <row r="77" customFormat="false" ht="15" hidden="false" customHeight="true" outlineLevel="0" collapsed="false">
      <c r="B77" s="61"/>
      <c r="C77" s="62"/>
      <c r="D77" s="50"/>
      <c r="E77" s="61"/>
      <c r="G77" s="61"/>
      <c r="H77" s="62"/>
      <c r="I77" s="50"/>
      <c r="J77" s="61"/>
      <c r="M77" s="61"/>
      <c r="N77" s="62"/>
      <c r="O77" s="50"/>
      <c r="P77" s="61"/>
      <c r="R77" s="61"/>
      <c r="S77" s="62"/>
      <c r="T77" s="50"/>
      <c r="U77" s="61"/>
    </row>
    <row r="78" customFormat="false" ht="15" hidden="false" customHeight="true" outlineLevel="0" collapsed="false">
      <c r="B78" s="61"/>
      <c r="C78" s="62"/>
      <c r="D78" s="50"/>
      <c r="E78" s="61"/>
      <c r="G78" s="61"/>
      <c r="H78" s="62"/>
      <c r="I78" s="50"/>
      <c r="J78" s="61"/>
      <c r="M78" s="61"/>
      <c r="N78" s="62"/>
      <c r="O78" s="50"/>
      <c r="P78" s="61"/>
      <c r="R78" s="61"/>
      <c r="S78" s="62"/>
      <c r="T78" s="50"/>
      <c r="U78" s="61"/>
    </row>
    <row r="79" customFormat="false" ht="15" hidden="false" customHeight="true" outlineLevel="0" collapsed="false">
      <c r="B79" s="61"/>
      <c r="C79" s="62"/>
      <c r="D79" s="50"/>
      <c r="E79" s="61"/>
      <c r="G79" s="61"/>
      <c r="H79" s="62"/>
      <c r="I79" s="50"/>
      <c r="J79" s="61"/>
      <c r="M79" s="61"/>
      <c r="N79" s="62"/>
      <c r="O79" s="50"/>
      <c r="P79" s="61"/>
      <c r="R79" s="61"/>
      <c r="S79" s="62"/>
      <c r="T79" s="50"/>
      <c r="U79" s="61"/>
    </row>
    <row r="80" customFormat="false" ht="15" hidden="false" customHeight="true" outlineLevel="0" collapsed="false">
      <c r="B80" s="61"/>
      <c r="C80" s="62"/>
      <c r="D80" s="50"/>
      <c r="E80" s="61"/>
      <c r="G80" s="61"/>
      <c r="H80" s="62"/>
      <c r="I80" s="50"/>
      <c r="J80" s="61"/>
      <c r="M80" s="61"/>
      <c r="N80" s="62"/>
      <c r="O80" s="50"/>
      <c r="P80" s="61"/>
      <c r="R80" s="61"/>
      <c r="S80" s="62"/>
      <c r="T80" s="50"/>
      <c r="U80" s="61"/>
    </row>
    <row r="81" customFormat="false" ht="15" hidden="false" customHeight="true" outlineLevel="0" collapsed="false">
      <c r="B81" s="61"/>
      <c r="C81" s="62"/>
      <c r="D81" s="50"/>
      <c r="E81" s="61"/>
      <c r="G81" s="61"/>
      <c r="H81" s="62"/>
      <c r="I81" s="50"/>
      <c r="J81" s="61"/>
      <c r="M81" s="61"/>
      <c r="N81" s="62"/>
      <c r="O81" s="50"/>
      <c r="P81" s="61"/>
      <c r="R81" s="61"/>
      <c r="S81" s="62"/>
      <c r="T81" s="50"/>
      <c r="U81" s="61"/>
    </row>
    <row r="82" customFormat="false" ht="15" hidden="false" customHeight="true" outlineLevel="0" collapsed="false">
      <c r="B82" s="61"/>
      <c r="C82" s="62"/>
      <c r="D82" s="50"/>
      <c r="E82" s="61"/>
      <c r="G82" s="61"/>
      <c r="H82" s="62"/>
      <c r="I82" s="50"/>
      <c r="J82" s="61"/>
      <c r="M82" s="61"/>
      <c r="N82" s="62"/>
      <c r="O82" s="50"/>
      <c r="P82" s="61"/>
      <c r="R82" s="61"/>
      <c r="S82" s="62"/>
      <c r="T82" s="50"/>
      <c r="U82" s="61"/>
    </row>
    <row r="83" customFormat="false" ht="15" hidden="false" customHeight="true" outlineLevel="0" collapsed="false">
      <c r="B83" s="61"/>
      <c r="C83" s="62"/>
      <c r="D83" s="50"/>
      <c r="E83" s="61"/>
      <c r="G83" s="61"/>
      <c r="H83" s="62"/>
      <c r="I83" s="50"/>
      <c r="J83" s="61"/>
      <c r="M83" s="61"/>
      <c r="N83" s="62"/>
      <c r="O83" s="50"/>
      <c r="P83" s="61"/>
      <c r="R83" s="61"/>
      <c r="S83" s="62"/>
      <c r="T83" s="50"/>
      <c r="U83" s="61"/>
    </row>
    <row r="84" customFormat="false" ht="15" hidden="false" customHeight="true" outlineLevel="0" collapsed="false">
      <c r="B84" s="61"/>
      <c r="C84" s="62"/>
      <c r="D84" s="50"/>
      <c r="E84" s="61"/>
      <c r="G84" s="61"/>
      <c r="H84" s="62"/>
      <c r="I84" s="50"/>
      <c r="J84" s="61"/>
      <c r="M84" s="61"/>
      <c r="N84" s="62"/>
      <c r="O84" s="50"/>
      <c r="P84" s="61"/>
      <c r="R84" s="61"/>
      <c r="S84" s="62"/>
      <c r="T84" s="50"/>
      <c r="U84" s="61"/>
    </row>
    <row r="85" customFormat="false" ht="15" hidden="false" customHeight="true" outlineLevel="0" collapsed="false">
      <c r="B85" s="61"/>
      <c r="C85" s="62"/>
      <c r="D85" s="50"/>
      <c r="E85" s="61"/>
      <c r="G85" s="61"/>
      <c r="H85" s="62"/>
      <c r="I85" s="50"/>
      <c r="J85" s="61"/>
      <c r="M85" s="61"/>
      <c r="N85" s="62"/>
      <c r="O85" s="50"/>
      <c r="P85" s="61"/>
      <c r="R85" s="61"/>
      <c r="S85" s="62"/>
      <c r="T85" s="50"/>
      <c r="U85" s="61"/>
    </row>
    <row r="86" customFormat="false" ht="15" hidden="false" customHeight="true" outlineLevel="0" collapsed="false">
      <c r="B86" s="61"/>
      <c r="C86" s="62"/>
      <c r="D86" s="50"/>
      <c r="E86" s="61"/>
      <c r="G86" s="61"/>
      <c r="H86" s="62"/>
      <c r="I86" s="50"/>
      <c r="J86" s="61"/>
      <c r="M86" s="61"/>
      <c r="N86" s="62"/>
      <c r="O86" s="50"/>
      <c r="P86" s="61"/>
      <c r="R86" s="61"/>
      <c r="S86" s="62"/>
      <c r="T86" s="50"/>
      <c r="U86" s="61"/>
    </row>
    <row r="87" customFormat="false" ht="15" hidden="false" customHeight="true" outlineLevel="0" collapsed="false">
      <c r="B87" s="61"/>
      <c r="C87" s="62"/>
      <c r="D87" s="50"/>
      <c r="E87" s="61"/>
      <c r="G87" s="61"/>
      <c r="H87" s="62"/>
      <c r="I87" s="50"/>
      <c r="J87" s="61"/>
      <c r="M87" s="61"/>
      <c r="N87" s="62"/>
      <c r="O87" s="50"/>
      <c r="P87" s="61"/>
      <c r="R87" s="61"/>
      <c r="S87" s="62"/>
      <c r="T87" s="50"/>
      <c r="U87" s="61"/>
    </row>
    <row r="88" customFormat="false" ht="15" hidden="false" customHeight="true" outlineLevel="0" collapsed="false">
      <c r="B88" s="63" t="s">
        <v>283</v>
      </c>
      <c r="C88" s="64" t="n">
        <f aca="false">SUM(C72:C87)</f>
        <v>300000</v>
      </c>
      <c r="D88" s="65" t="n">
        <f aca="false">SUM(D72:D87)</f>
        <v>0</v>
      </c>
      <c r="E88" s="63" t="s">
        <v>283</v>
      </c>
      <c r="G88" s="63" t="s">
        <v>283</v>
      </c>
      <c r="H88" s="64" t="n">
        <f aca="false">SUM(H72:H87)</f>
        <v>6000</v>
      </c>
      <c r="I88" s="65" t="n">
        <f aca="false">SUM(I72:I87)</f>
        <v>6000</v>
      </c>
      <c r="J88" s="63" t="s">
        <v>283</v>
      </c>
      <c r="M88" s="63" t="s">
        <v>283</v>
      </c>
      <c r="N88" s="64" t="n">
        <f aca="false">SUM(N72:N87)</f>
        <v>0</v>
      </c>
      <c r="O88" s="65" t="n">
        <f aca="false">SUM(O72:O87)</f>
        <v>0</v>
      </c>
      <c r="P88" s="63" t="s">
        <v>283</v>
      </c>
      <c r="R88" s="63" t="s">
        <v>283</v>
      </c>
      <c r="S88" s="64" t="n">
        <f aca="false">SUM(S72:S87)</f>
        <v>160000</v>
      </c>
      <c r="T88" s="65" t="n">
        <f aca="false">SUM(T72:T87)</f>
        <v>160000</v>
      </c>
      <c r="U88" s="63" t="s">
        <v>283</v>
      </c>
    </row>
    <row r="89" customFormat="false" ht="15" hidden="false" customHeight="true" outlineLevel="0" collapsed="false">
      <c r="B89" s="66" t="s">
        <v>285</v>
      </c>
      <c r="C89" s="67" t="n">
        <f aca="false">C88-D88</f>
        <v>300000</v>
      </c>
      <c r="D89" s="68"/>
      <c r="G89" s="66" t="s">
        <v>285</v>
      </c>
      <c r="H89" s="67" t="n">
        <f aca="false">H88-I88</f>
        <v>0</v>
      </c>
      <c r="I89" s="68"/>
      <c r="N89" s="69"/>
      <c r="O89" s="70" t="n">
        <f aca="false">O88-N88</f>
        <v>0</v>
      </c>
      <c r="P89" s="71" t="s">
        <v>285</v>
      </c>
      <c r="S89" s="69"/>
      <c r="T89" s="70" t="n">
        <f aca="false">T88-S88</f>
        <v>0</v>
      </c>
      <c r="U89" s="71" t="s">
        <v>285</v>
      </c>
    </row>
    <row r="91" customFormat="false" ht="15" hidden="false" customHeight="true" outlineLevel="0" collapsed="false">
      <c r="B91" s="54" t="s">
        <v>298</v>
      </c>
      <c r="C91" s="54"/>
      <c r="D91" s="54"/>
      <c r="E91" s="54"/>
      <c r="G91" s="54" t="s">
        <v>245</v>
      </c>
      <c r="H91" s="54"/>
      <c r="I91" s="54"/>
      <c r="J91" s="54"/>
      <c r="M91" s="55" t="s">
        <v>299</v>
      </c>
      <c r="N91" s="55"/>
      <c r="O91" s="55"/>
      <c r="P91" s="55"/>
      <c r="R91" s="55" t="s">
        <v>300</v>
      </c>
      <c r="S91" s="55"/>
      <c r="T91" s="55"/>
      <c r="U91" s="55"/>
    </row>
    <row r="92" customFormat="false" ht="15" hidden="false" customHeight="true" outlineLevel="0" collapsed="false">
      <c r="B92" s="56" t="s">
        <v>174</v>
      </c>
      <c r="C92" s="57" t="s">
        <v>261</v>
      </c>
      <c r="D92" s="56" t="s">
        <v>262</v>
      </c>
      <c r="E92" s="56" t="s">
        <v>174</v>
      </c>
      <c r="G92" s="56" t="s">
        <v>174</v>
      </c>
      <c r="H92" s="57" t="s">
        <v>263</v>
      </c>
      <c r="I92" s="56" t="s">
        <v>264</v>
      </c>
      <c r="J92" s="56" t="s">
        <v>174</v>
      </c>
      <c r="M92" s="56" t="s">
        <v>174</v>
      </c>
      <c r="N92" s="57" t="s">
        <v>263</v>
      </c>
      <c r="O92" s="56" t="s">
        <v>264</v>
      </c>
      <c r="P92" s="56" t="s">
        <v>174</v>
      </c>
      <c r="R92" s="56" t="s">
        <v>174</v>
      </c>
      <c r="S92" s="57" t="s">
        <v>263</v>
      </c>
      <c r="T92" s="56" t="s">
        <v>264</v>
      </c>
      <c r="U92" s="56" t="s">
        <v>174</v>
      </c>
    </row>
    <row r="93" customFormat="false" ht="15" hidden="false" customHeight="true" outlineLevel="0" collapsed="false">
      <c r="B93" s="58" t="s">
        <v>266</v>
      </c>
      <c r="C93" s="59" t="n">
        <v>100000</v>
      </c>
      <c r="D93" s="60"/>
      <c r="E93" s="58"/>
      <c r="G93" s="58"/>
      <c r="H93" s="59"/>
      <c r="I93" s="60" t="n">
        <v>5000</v>
      </c>
      <c r="J93" s="58" t="s">
        <v>266</v>
      </c>
      <c r="M93" s="58"/>
      <c r="N93" s="59"/>
      <c r="O93" s="60"/>
      <c r="P93" s="58" t="s">
        <v>266</v>
      </c>
      <c r="R93" s="58"/>
      <c r="S93" s="59"/>
      <c r="T93" s="60"/>
      <c r="U93" s="58" t="s">
        <v>266</v>
      </c>
    </row>
    <row r="94" customFormat="false" ht="15" hidden="false" customHeight="true" outlineLevel="0" collapsed="false">
      <c r="B94" s="61"/>
      <c r="C94" s="62"/>
      <c r="D94" s="50"/>
      <c r="E94" s="61"/>
      <c r="G94" s="61"/>
      <c r="H94" s="62"/>
      <c r="I94" s="50" t="n">
        <v>5000</v>
      </c>
      <c r="J94" s="61" t="s">
        <v>242</v>
      </c>
      <c r="M94" s="61"/>
      <c r="N94" s="62"/>
      <c r="O94" s="50"/>
      <c r="P94" s="61"/>
      <c r="R94" s="61"/>
      <c r="S94" s="62"/>
      <c r="T94" s="50"/>
      <c r="U94" s="61"/>
    </row>
    <row r="95" customFormat="false" ht="15" hidden="false" customHeight="true" outlineLevel="0" collapsed="false">
      <c r="B95" s="61"/>
      <c r="C95" s="62"/>
      <c r="D95" s="50"/>
      <c r="E95" s="61"/>
      <c r="G95" s="61"/>
      <c r="H95" s="62"/>
      <c r="I95" s="50"/>
      <c r="J95" s="61"/>
      <c r="M95" s="61"/>
      <c r="N95" s="62"/>
      <c r="O95" s="50"/>
      <c r="P95" s="61"/>
      <c r="R95" s="61"/>
      <c r="S95" s="62"/>
      <c r="T95" s="50"/>
      <c r="U95" s="61"/>
    </row>
    <row r="96" customFormat="false" ht="15" hidden="false" customHeight="true" outlineLevel="0" collapsed="false">
      <c r="B96" s="61"/>
      <c r="C96" s="62"/>
      <c r="D96" s="50"/>
      <c r="E96" s="61"/>
      <c r="G96" s="61"/>
      <c r="H96" s="62"/>
      <c r="I96" s="50"/>
      <c r="J96" s="61"/>
      <c r="M96" s="61"/>
      <c r="N96" s="62"/>
      <c r="O96" s="50"/>
      <c r="P96" s="61"/>
      <c r="R96" s="61"/>
      <c r="S96" s="62"/>
      <c r="T96" s="50"/>
      <c r="U96" s="61"/>
    </row>
    <row r="97" customFormat="false" ht="15" hidden="false" customHeight="true" outlineLevel="0" collapsed="false">
      <c r="B97" s="61"/>
      <c r="C97" s="62"/>
      <c r="D97" s="50"/>
      <c r="E97" s="61"/>
      <c r="G97" s="61"/>
      <c r="H97" s="62"/>
      <c r="I97" s="50"/>
      <c r="J97" s="61"/>
      <c r="M97" s="61"/>
      <c r="N97" s="62"/>
      <c r="O97" s="50"/>
      <c r="P97" s="61"/>
      <c r="R97" s="61"/>
      <c r="S97" s="62"/>
      <c r="T97" s="50"/>
      <c r="U97" s="61"/>
    </row>
    <row r="98" customFormat="false" ht="15" hidden="false" customHeight="true" outlineLevel="0" collapsed="false">
      <c r="B98" s="61"/>
      <c r="C98" s="62"/>
      <c r="D98" s="50"/>
      <c r="E98" s="61"/>
      <c r="G98" s="61"/>
      <c r="H98" s="62"/>
      <c r="I98" s="50"/>
      <c r="J98" s="61"/>
      <c r="M98" s="61"/>
      <c r="N98" s="62"/>
      <c r="O98" s="50"/>
      <c r="P98" s="61"/>
      <c r="R98" s="61"/>
      <c r="S98" s="62"/>
      <c r="T98" s="50"/>
      <c r="U98" s="61"/>
    </row>
    <row r="99" customFormat="false" ht="15" hidden="false" customHeight="true" outlineLevel="0" collapsed="false">
      <c r="B99" s="61"/>
      <c r="C99" s="62"/>
      <c r="D99" s="50"/>
      <c r="E99" s="61"/>
      <c r="G99" s="61"/>
      <c r="H99" s="62"/>
      <c r="I99" s="50"/>
      <c r="J99" s="61"/>
      <c r="M99" s="61"/>
      <c r="N99" s="62"/>
      <c r="O99" s="50"/>
      <c r="P99" s="61"/>
      <c r="R99" s="61"/>
      <c r="S99" s="62"/>
      <c r="T99" s="50"/>
      <c r="U99" s="61"/>
    </row>
    <row r="100" customFormat="false" ht="15" hidden="false" customHeight="true" outlineLevel="0" collapsed="false">
      <c r="B100" s="61"/>
      <c r="C100" s="62"/>
      <c r="D100" s="50"/>
      <c r="E100" s="61"/>
      <c r="G100" s="61"/>
      <c r="H100" s="62"/>
      <c r="I100" s="50"/>
      <c r="J100" s="61"/>
      <c r="M100" s="61"/>
      <c r="N100" s="62"/>
      <c r="O100" s="50"/>
      <c r="P100" s="61"/>
      <c r="R100" s="61"/>
      <c r="S100" s="62"/>
      <c r="T100" s="50"/>
      <c r="U100" s="61"/>
    </row>
    <row r="101" customFormat="false" ht="15" hidden="false" customHeight="true" outlineLevel="0" collapsed="false">
      <c r="B101" s="61"/>
      <c r="C101" s="62"/>
      <c r="D101" s="50"/>
      <c r="E101" s="61"/>
      <c r="G101" s="61"/>
      <c r="H101" s="62"/>
      <c r="I101" s="50"/>
      <c r="J101" s="61"/>
      <c r="M101" s="61"/>
      <c r="N101" s="62"/>
      <c r="O101" s="50"/>
      <c r="P101" s="61"/>
      <c r="R101" s="61"/>
      <c r="S101" s="62"/>
      <c r="T101" s="50"/>
      <c r="U101" s="61"/>
    </row>
    <row r="102" customFormat="false" ht="15" hidden="false" customHeight="true" outlineLevel="0" collapsed="false">
      <c r="B102" s="61"/>
      <c r="C102" s="62"/>
      <c r="D102" s="50"/>
      <c r="E102" s="61"/>
      <c r="G102" s="61"/>
      <c r="H102" s="62"/>
      <c r="I102" s="50"/>
      <c r="J102" s="61"/>
      <c r="M102" s="61"/>
      <c r="N102" s="62"/>
      <c r="O102" s="50"/>
      <c r="P102" s="61"/>
      <c r="R102" s="61"/>
      <c r="S102" s="62"/>
      <c r="T102" s="50"/>
      <c r="U102" s="61"/>
    </row>
    <row r="103" customFormat="false" ht="15" hidden="false" customHeight="true" outlineLevel="0" collapsed="false">
      <c r="B103" s="61"/>
      <c r="C103" s="62"/>
      <c r="D103" s="50"/>
      <c r="E103" s="61"/>
      <c r="G103" s="61"/>
      <c r="H103" s="62"/>
      <c r="I103" s="50"/>
      <c r="J103" s="61"/>
      <c r="M103" s="61"/>
      <c r="N103" s="62"/>
      <c r="O103" s="50"/>
      <c r="P103" s="61"/>
      <c r="R103" s="61"/>
      <c r="S103" s="62"/>
      <c r="T103" s="50"/>
      <c r="U103" s="61"/>
    </row>
    <row r="104" customFormat="false" ht="15" hidden="false" customHeight="true" outlineLevel="0" collapsed="false">
      <c r="B104" s="61"/>
      <c r="C104" s="62"/>
      <c r="D104" s="50"/>
      <c r="E104" s="61"/>
      <c r="G104" s="61"/>
      <c r="H104" s="62"/>
      <c r="I104" s="50"/>
      <c r="J104" s="61"/>
      <c r="M104" s="61"/>
      <c r="N104" s="62"/>
      <c r="O104" s="50"/>
      <c r="P104" s="61"/>
      <c r="R104" s="61"/>
      <c r="S104" s="62"/>
      <c r="T104" s="50"/>
      <c r="U104" s="61"/>
    </row>
    <row r="105" customFormat="false" ht="15" hidden="false" customHeight="true" outlineLevel="0" collapsed="false">
      <c r="B105" s="61"/>
      <c r="C105" s="62"/>
      <c r="D105" s="50"/>
      <c r="E105" s="61"/>
      <c r="G105" s="61"/>
      <c r="H105" s="62"/>
      <c r="I105" s="50"/>
      <c r="J105" s="61"/>
      <c r="M105" s="61"/>
      <c r="N105" s="62"/>
      <c r="O105" s="50"/>
      <c r="P105" s="61"/>
      <c r="R105" s="61"/>
      <c r="S105" s="62"/>
      <c r="T105" s="50"/>
      <c r="U105" s="61"/>
    </row>
    <row r="106" customFormat="false" ht="15" hidden="false" customHeight="true" outlineLevel="0" collapsed="false">
      <c r="B106" s="61"/>
      <c r="C106" s="62"/>
      <c r="D106" s="50"/>
      <c r="E106" s="61"/>
      <c r="G106" s="61"/>
      <c r="H106" s="62"/>
      <c r="I106" s="50"/>
      <c r="J106" s="61"/>
      <c r="M106" s="61"/>
      <c r="N106" s="62"/>
      <c r="O106" s="50"/>
      <c r="P106" s="61"/>
      <c r="R106" s="61"/>
      <c r="S106" s="62"/>
      <c r="T106" s="50"/>
      <c r="U106" s="61"/>
    </row>
    <row r="107" customFormat="false" ht="15" hidden="false" customHeight="true" outlineLevel="0" collapsed="false">
      <c r="B107" s="61"/>
      <c r="C107" s="62"/>
      <c r="D107" s="50"/>
      <c r="E107" s="61"/>
      <c r="G107" s="61"/>
      <c r="H107" s="62"/>
      <c r="I107" s="50"/>
      <c r="J107" s="61"/>
      <c r="M107" s="61"/>
      <c r="N107" s="62"/>
      <c r="O107" s="50"/>
      <c r="P107" s="61"/>
      <c r="R107" s="61"/>
      <c r="S107" s="62"/>
      <c r="T107" s="50"/>
      <c r="U107" s="61"/>
    </row>
    <row r="108" customFormat="false" ht="15" hidden="false" customHeight="true" outlineLevel="0" collapsed="false">
      <c r="B108" s="61"/>
      <c r="C108" s="62"/>
      <c r="D108" s="50"/>
      <c r="E108" s="61"/>
      <c r="G108" s="61"/>
      <c r="H108" s="62"/>
      <c r="I108" s="50"/>
      <c r="J108" s="61"/>
      <c r="M108" s="61"/>
      <c r="N108" s="62"/>
      <c r="O108" s="50"/>
      <c r="P108" s="61"/>
      <c r="R108" s="61"/>
      <c r="S108" s="62"/>
      <c r="T108" s="50"/>
      <c r="U108" s="61"/>
    </row>
    <row r="109" customFormat="false" ht="15" hidden="false" customHeight="true" outlineLevel="0" collapsed="false">
      <c r="B109" s="63" t="s">
        <v>283</v>
      </c>
      <c r="C109" s="64" t="n">
        <f aca="false">SUM(C93:C108)</f>
        <v>100000</v>
      </c>
      <c r="D109" s="65" t="n">
        <f aca="false">SUM(D93:D108)</f>
        <v>0</v>
      </c>
      <c r="E109" s="63" t="s">
        <v>283</v>
      </c>
      <c r="G109" s="63" t="s">
        <v>283</v>
      </c>
      <c r="H109" s="64" t="n">
        <f aca="false">SUM(H93:H108)</f>
        <v>0</v>
      </c>
      <c r="I109" s="65" t="n">
        <f aca="false">SUM(I93:I108)</f>
        <v>10000</v>
      </c>
      <c r="J109" s="63" t="s">
        <v>283</v>
      </c>
      <c r="M109" s="63" t="s">
        <v>283</v>
      </c>
      <c r="N109" s="64" t="n">
        <f aca="false">SUM(N93:N108)</f>
        <v>0</v>
      </c>
      <c r="O109" s="65" t="n">
        <f aca="false">SUM(O93:O108)</f>
        <v>0</v>
      </c>
      <c r="P109" s="63" t="s">
        <v>283</v>
      </c>
      <c r="R109" s="63" t="s">
        <v>283</v>
      </c>
      <c r="S109" s="64" t="n">
        <f aca="false">SUM(S93:S108)</f>
        <v>0</v>
      </c>
      <c r="T109" s="65" t="n">
        <f aca="false">SUM(T93:T108)</f>
        <v>0</v>
      </c>
      <c r="U109" s="63" t="s">
        <v>283</v>
      </c>
    </row>
    <row r="110" customFormat="false" ht="15" hidden="false" customHeight="true" outlineLevel="0" collapsed="false">
      <c r="B110" s="66" t="s">
        <v>285</v>
      </c>
      <c r="C110" s="67" t="n">
        <f aca="false">C109-D109</f>
        <v>100000</v>
      </c>
      <c r="D110" s="68"/>
      <c r="H110" s="69"/>
      <c r="I110" s="72" t="n">
        <f aca="false">I109-H109</f>
        <v>10000</v>
      </c>
      <c r="J110" s="66" t="s">
        <v>285</v>
      </c>
      <c r="N110" s="69"/>
      <c r="O110" s="70" t="n">
        <f aca="false">O109-N109</f>
        <v>0</v>
      </c>
      <c r="P110" s="71" t="s">
        <v>285</v>
      </c>
      <c r="S110" s="69"/>
      <c r="T110" s="70" t="n">
        <f aca="false">T109-S109</f>
        <v>0</v>
      </c>
      <c r="U110" s="71" t="s">
        <v>285</v>
      </c>
    </row>
    <row r="112" customFormat="false" ht="15" hidden="false" customHeight="true" outlineLevel="0" collapsed="false">
      <c r="B112" s="54" t="s">
        <v>236</v>
      </c>
      <c r="C112" s="54"/>
      <c r="D112" s="54"/>
      <c r="E112" s="54"/>
      <c r="G112" s="54" t="s">
        <v>233</v>
      </c>
      <c r="H112" s="54"/>
      <c r="I112" s="54"/>
      <c r="J112" s="54"/>
      <c r="M112" s="73" t="s">
        <v>301</v>
      </c>
      <c r="N112" s="73"/>
      <c r="O112" s="73"/>
      <c r="P112" s="73"/>
      <c r="R112" s="73" t="s">
        <v>302</v>
      </c>
      <c r="S112" s="73"/>
      <c r="T112" s="73"/>
      <c r="U112" s="73"/>
    </row>
    <row r="113" customFormat="false" ht="15" hidden="false" customHeight="true" outlineLevel="0" collapsed="false">
      <c r="B113" s="56" t="s">
        <v>174</v>
      </c>
      <c r="C113" s="57" t="s">
        <v>261</v>
      </c>
      <c r="D113" s="56" t="s">
        <v>262</v>
      </c>
      <c r="E113" s="56" t="s">
        <v>174</v>
      </c>
      <c r="G113" s="56" t="s">
        <v>174</v>
      </c>
      <c r="H113" s="57" t="s">
        <v>263</v>
      </c>
      <c r="I113" s="56" t="s">
        <v>264</v>
      </c>
      <c r="J113" s="56" t="s">
        <v>174</v>
      </c>
      <c r="M113" s="56" t="s">
        <v>174</v>
      </c>
      <c r="N113" s="57" t="s">
        <v>263</v>
      </c>
      <c r="O113" s="56" t="s">
        <v>264</v>
      </c>
      <c r="P113" s="56" t="s">
        <v>174</v>
      </c>
      <c r="R113" s="56" t="s">
        <v>174</v>
      </c>
      <c r="S113" s="57" t="s">
        <v>263</v>
      </c>
      <c r="T113" s="56" t="s">
        <v>264</v>
      </c>
      <c r="U113" s="56" t="s">
        <v>174</v>
      </c>
    </row>
    <row r="114" customFormat="false" ht="15" hidden="false" customHeight="true" outlineLevel="0" collapsed="false">
      <c r="B114" s="58" t="s">
        <v>266</v>
      </c>
      <c r="C114" s="59" t="n">
        <v>20000</v>
      </c>
      <c r="D114" s="60"/>
      <c r="E114" s="58"/>
      <c r="G114" s="58"/>
      <c r="H114" s="59"/>
      <c r="I114" s="60" t="n">
        <v>4000</v>
      </c>
      <c r="J114" s="58" t="s">
        <v>266</v>
      </c>
      <c r="M114" s="58"/>
      <c r="N114" s="59"/>
      <c r="O114" s="60" t="n">
        <v>500000</v>
      </c>
      <c r="P114" s="58" t="s">
        <v>266</v>
      </c>
      <c r="R114" s="58"/>
      <c r="S114" s="59"/>
      <c r="T114" s="60"/>
      <c r="U114" s="58" t="s">
        <v>266</v>
      </c>
    </row>
    <row r="115" customFormat="false" ht="15" hidden="false" customHeight="true" outlineLevel="0" collapsed="false">
      <c r="B115" s="61" t="n">
        <v>13</v>
      </c>
      <c r="C115" s="62" t="n">
        <v>25000</v>
      </c>
      <c r="D115" s="50" t="n">
        <v>20000</v>
      </c>
      <c r="E115" s="61" t="n">
        <v>12</v>
      </c>
      <c r="G115" s="61" t="n">
        <v>12</v>
      </c>
      <c r="H115" s="62" t="n">
        <v>4000</v>
      </c>
      <c r="I115" s="50"/>
      <c r="J115" s="61"/>
      <c r="M115" s="61"/>
      <c r="N115" s="62"/>
      <c r="O115" s="50"/>
      <c r="P115" s="61"/>
      <c r="R115" s="61"/>
      <c r="S115" s="62"/>
      <c r="T115" s="50"/>
      <c r="U115" s="61"/>
    </row>
    <row r="116" customFormat="false" ht="15" hidden="false" customHeight="true" outlineLevel="0" collapsed="false">
      <c r="B116" s="61"/>
      <c r="C116" s="62"/>
      <c r="D116" s="50"/>
      <c r="E116" s="61"/>
      <c r="G116" s="61"/>
      <c r="H116" s="62"/>
      <c r="I116" s="50"/>
      <c r="J116" s="61"/>
      <c r="M116" s="61"/>
      <c r="N116" s="62"/>
      <c r="O116" s="50"/>
      <c r="P116" s="61"/>
      <c r="R116" s="61"/>
      <c r="S116" s="62"/>
      <c r="T116" s="50"/>
      <c r="U116" s="61"/>
    </row>
    <row r="117" customFormat="false" ht="15" hidden="false" customHeight="true" outlineLevel="0" collapsed="false">
      <c r="B117" s="61"/>
      <c r="C117" s="62"/>
      <c r="D117" s="50"/>
      <c r="E117" s="61"/>
      <c r="G117" s="61"/>
      <c r="H117" s="62"/>
      <c r="I117" s="50"/>
      <c r="J117" s="61"/>
      <c r="M117" s="61"/>
      <c r="N117" s="62"/>
      <c r="O117" s="50"/>
      <c r="P117" s="61"/>
      <c r="R117" s="61"/>
      <c r="S117" s="62"/>
      <c r="T117" s="50"/>
      <c r="U117" s="61"/>
    </row>
    <row r="118" customFormat="false" ht="15" hidden="false" customHeight="true" outlineLevel="0" collapsed="false">
      <c r="B118" s="61"/>
      <c r="C118" s="62"/>
      <c r="D118" s="50"/>
      <c r="E118" s="61"/>
      <c r="G118" s="61"/>
      <c r="H118" s="62"/>
      <c r="I118" s="50"/>
      <c r="J118" s="61"/>
      <c r="M118" s="61"/>
      <c r="N118" s="62"/>
      <c r="O118" s="50"/>
      <c r="P118" s="61"/>
      <c r="R118" s="61"/>
      <c r="S118" s="62"/>
      <c r="T118" s="50"/>
      <c r="U118" s="61"/>
    </row>
    <row r="119" customFormat="false" ht="15" hidden="false" customHeight="true" outlineLevel="0" collapsed="false">
      <c r="B119" s="61"/>
      <c r="C119" s="62"/>
      <c r="D119" s="50"/>
      <c r="E119" s="61"/>
      <c r="G119" s="61"/>
      <c r="H119" s="62"/>
      <c r="I119" s="50"/>
      <c r="J119" s="61"/>
      <c r="M119" s="61"/>
      <c r="N119" s="62"/>
      <c r="O119" s="50"/>
      <c r="P119" s="61"/>
      <c r="R119" s="61"/>
      <c r="S119" s="62"/>
      <c r="T119" s="50"/>
      <c r="U119" s="61"/>
    </row>
    <row r="120" customFormat="false" ht="15" hidden="false" customHeight="true" outlineLevel="0" collapsed="false">
      <c r="B120" s="61"/>
      <c r="C120" s="62"/>
      <c r="D120" s="50"/>
      <c r="E120" s="61"/>
      <c r="G120" s="61"/>
      <c r="H120" s="62"/>
      <c r="I120" s="50"/>
      <c r="J120" s="61"/>
      <c r="M120" s="61"/>
      <c r="N120" s="62"/>
      <c r="O120" s="50"/>
      <c r="P120" s="61"/>
      <c r="R120" s="61"/>
      <c r="S120" s="62"/>
      <c r="T120" s="50"/>
      <c r="U120" s="61"/>
    </row>
    <row r="121" customFormat="false" ht="15" hidden="false" customHeight="true" outlineLevel="0" collapsed="false">
      <c r="B121" s="61"/>
      <c r="C121" s="62"/>
      <c r="D121" s="50"/>
      <c r="E121" s="61"/>
      <c r="G121" s="61"/>
      <c r="H121" s="62"/>
      <c r="I121" s="50"/>
      <c r="J121" s="61"/>
      <c r="M121" s="61"/>
      <c r="N121" s="62"/>
      <c r="O121" s="50"/>
      <c r="P121" s="61"/>
      <c r="R121" s="61"/>
      <c r="S121" s="62"/>
      <c r="T121" s="50"/>
      <c r="U121" s="61"/>
    </row>
    <row r="122" customFormat="false" ht="15" hidden="false" customHeight="true" outlineLevel="0" collapsed="false">
      <c r="B122" s="61"/>
      <c r="C122" s="62"/>
      <c r="D122" s="50"/>
      <c r="E122" s="61"/>
      <c r="G122" s="61"/>
      <c r="H122" s="62"/>
      <c r="I122" s="50"/>
      <c r="J122" s="61"/>
      <c r="M122" s="61"/>
      <c r="N122" s="62"/>
      <c r="O122" s="50"/>
      <c r="P122" s="61"/>
      <c r="R122" s="61"/>
      <c r="S122" s="62"/>
      <c r="T122" s="50"/>
      <c r="U122" s="61"/>
    </row>
    <row r="123" customFormat="false" ht="15" hidden="false" customHeight="true" outlineLevel="0" collapsed="false">
      <c r="B123" s="61"/>
      <c r="C123" s="62"/>
      <c r="D123" s="50"/>
      <c r="E123" s="61"/>
      <c r="G123" s="61"/>
      <c r="H123" s="62"/>
      <c r="I123" s="50"/>
      <c r="J123" s="61"/>
      <c r="M123" s="61"/>
      <c r="N123" s="62"/>
      <c r="O123" s="50"/>
      <c r="P123" s="61"/>
      <c r="R123" s="61"/>
      <c r="S123" s="62"/>
      <c r="T123" s="50"/>
      <c r="U123" s="61"/>
    </row>
    <row r="124" customFormat="false" ht="15" hidden="false" customHeight="true" outlineLevel="0" collapsed="false">
      <c r="B124" s="61"/>
      <c r="C124" s="62"/>
      <c r="D124" s="50"/>
      <c r="E124" s="61"/>
      <c r="G124" s="61"/>
      <c r="H124" s="62"/>
      <c r="I124" s="50"/>
      <c r="J124" s="61"/>
      <c r="M124" s="61"/>
      <c r="N124" s="62"/>
      <c r="O124" s="50"/>
      <c r="P124" s="61"/>
      <c r="R124" s="61"/>
      <c r="S124" s="62"/>
      <c r="T124" s="50"/>
      <c r="U124" s="61"/>
    </row>
    <row r="125" customFormat="false" ht="15" hidden="false" customHeight="true" outlineLevel="0" collapsed="false">
      <c r="B125" s="61"/>
      <c r="C125" s="62"/>
      <c r="D125" s="50"/>
      <c r="E125" s="61"/>
      <c r="G125" s="61"/>
      <c r="H125" s="62"/>
      <c r="I125" s="50"/>
      <c r="J125" s="61"/>
      <c r="M125" s="61"/>
      <c r="N125" s="62"/>
      <c r="O125" s="50"/>
      <c r="P125" s="61"/>
      <c r="R125" s="61"/>
      <c r="S125" s="62"/>
      <c r="T125" s="50"/>
      <c r="U125" s="61"/>
    </row>
    <row r="126" customFormat="false" ht="15" hidden="false" customHeight="true" outlineLevel="0" collapsed="false">
      <c r="B126" s="61"/>
      <c r="C126" s="62"/>
      <c r="D126" s="50"/>
      <c r="E126" s="61"/>
      <c r="G126" s="61"/>
      <c r="H126" s="62"/>
      <c r="I126" s="50"/>
      <c r="J126" s="61"/>
      <c r="M126" s="61"/>
      <c r="N126" s="62"/>
      <c r="O126" s="50"/>
      <c r="P126" s="61"/>
      <c r="R126" s="61"/>
      <c r="S126" s="62"/>
      <c r="T126" s="50"/>
      <c r="U126" s="61"/>
    </row>
    <row r="127" customFormat="false" ht="15" hidden="false" customHeight="true" outlineLevel="0" collapsed="false">
      <c r="B127" s="61"/>
      <c r="C127" s="62"/>
      <c r="D127" s="50"/>
      <c r="E127" s="61"/>
      <c r="G127" s="61"/>
      <c r="H127" s="62"/>
      <c r="I127" s="50"/>
      <c r="J127" s="61"/>
      <c r="M127" s="61"/>
      <c r="N127" s="62"/>
      <c r="O127" s="50"/>
      <c r="P127" s="61"/>
      <c r="R127" s="61"/>
      <c r="S127" s="62"/>
      <c r="T127" s="50"/>
      <c r="U127" s="61"/>
    </row>
    <row r="128" customFormat="false" ht="15" hidden="false" customHeight="true" outlineLevel="0" collapsed="false">
      <c r="B128" s="61"/>
      <c r="C128" s="62"/>
      <c r="D128" s="50"/>
      <c r="E128" s="61"/>
      <c r="G128" s="61"/>
      <c r="H128" s="62"/>
      <c r="I128" s="50"/>
      <c r="J128" s="61"/>
      <c r="M128" s="61"/>
      <c r="N128" s="62"/>
      <c r="O128" s="50"/>
      <c r="P128" s="61"/>
      <c r="R128" s="61"/>
      <c r="S128" s="62"/>
      <c r="T128" s="50"/>
      <c r="U128" s="61"/>
    </row>
    <row r="129" customFormat="false" ht="15" hidden="false" customHeight="true" outlineLevel="0" collapsed="false">
      <c r="B129" s="61"/>
      <c r="C129" s="62"/>
      <c r="D129" s="50"/>
      <c r="E129" s="61"/>
      <c r="G129" s="61"/>
      <c r="H129" s="62"/>
      <c r="I129" s="50"/>
      <c r="J129" s="61"/>
      <c r="M129" s="61"/>
      <c r="N129" s="62"/>
      <c r="O129" s="50"/>
      <c r="P129" s="61"/>
      <c r="R129" s="61"/>
      <c r="S129" s="62"/>
      <c r="T129" s="50"/>
      <c r="U129" s="61"/>
    </row>
    <row r="130" customFormat="false" ht="15" hidden="false" customHeight="true" outlineLevel="0" collapsed="false">
      <c r="B130" s="63" t="s">
        <v>283</v>
      </c>
      <c r="C130" s="64" t="n">
        <f aca="false">SUM(C114:C129)</f>
        <v>45000</v>
      </c>
      <c r="D130" s="65" t="n">
        <f aca="false">SUM(D114:D129)</f>
        <v>20000</v>
      </c>
      <c r="E130" s="63" t="s">
        <v>283</v>
      </c>
      <c r="G130" s="63" t="s">
        <v>283</v>
      </c>
      <c r="H130" s="64" t="n">
        <f aca="false">SUM(H114:H129)</f>
        <v>4000</v>
      </c>
      <c r="I130" s="65" t="n">
        <f aca="false">SUM(I114:I129)</f>
        <v>4000</v>
      </c>
      <c r="J130" s="63" t="s">
        <v>283</v>
      </c>
      <c r="M130" s="63" t="s">
        <v>283</v>
      </c>
      <c r="N130" s="64" t="n">
        <f aca="false">SUM(N114:N129)</f>
        <v>0</v>
      </c>
      <c r="O130" s="65" t="n">
        <f aca="false">SUM(O114:O129)</f>
        <v>500000</v>
      </c>
      <c r="P130" s="63" t="s">
        <v>283</v>
      </c>
      <c r="R130" s="63" t="s">
        <v>283</v>
      </c>
      <c r="S130" s="64" t="n">
        <f aca="false">SUM(S114:S129)</f>
        <v>0</v>
      </c>
      <c r="T130" s="65" t="n">
        <f aca="false">SUM(T114:T129)</f>
        <v>0</v>
      </c>
      <c r="U130" s="63" t="s">
        <v>283</v>
      </c>
    </row>
    <row r="131" customFormat="false" ht="15" hidden="false" customHeight="true" outlineLevel="0" collapsed="false">
      <c r="B131" s="66" t="s">
        <v>285</v>
      </c>
      <c r="C131" s="67" t="n">
        <f aca="false">C130-D130</f>
        <v>25000</v>
      </c>
      <c r="D131" s="68"/>
      <c r="H131" s="69"/>
      <c r="I131" s="72" t="n">
        <f aca="false">I130-H130</f>
        <v>0</v>
      </c>
      <c r="J131" s="66" t="s">
        <v>285</v>
      </c>
      <c r="N131" s="69"/>
      <c r="O131" s="74" t="n">
        <f aca="false">O130-N130</f>
        <v>500000</v>
      </c>
      <c r="P131" s="75" t="s">
        <v>285</v>
      </c>
      <c r="S131" s="69"/>
      <c r="T131" s="74" t="n">
        <f aca="false">T130-S130</f>
        <v>0</v>
      </c>
      <c r="U131" s="75" t="s">
        <v>285</v>
      </c>
    </row>
    <row r="133" customFormat="false" ht="15" hidden="false" customHeight="true" outlineLevel="0" collapsed="false">
      <c r="B133" s="54" t="s">
        <v>182</v>
      </c>
      <c r="C133" s="54"/>
      <c r="D133" s="54"/>
      <c r="E133" s="54"/>
      <c r="G133" s="54" t="s">
        <v>215</v>
      </c>
      <c r="H133" s="54"/>
      <c r="I133" s="54"/>
      <c r="J133" s="54"/>
      <c r="M133" s="73" t="s">
        <v>229</v>
      </c>
      <c r="N133" s="73"/>
      <c r="O133" s="73"/>
      <c r="P133" s="73"/>
      <c r="R133" s="76" t="s">
        <v>252</v>
      </c>
      <c r="S133" s="76"/>
      <c r="T133" s="76"/>
      <c r="U133" s="76"/>
    </row>
    <row r="134" customFormat="false" ht="15" hidden="false" customHeight="true" outlineLevel="0" collapsed="false">
      <c r="B134" s="56" t="s">
        <v>174</v>
      </c>
      <c r="C134" s="57" t="s">
        <v>261</v>
      </c>
      <c r="D134" s="56" t="s">
        <v>262</v>
      </c>
      <c r="E134" s="56" t="s">
        <v>174</v>
      </c>
      <c r="G134" s="56" t="s">
        <v>174</v>
      </c>
      <c r="H134" s="57" t="s">
        <v>263</v>
      </c>
      <c r="I134" s="56" t="s">
        <v>264</v>
      </c>
      <c r="J134" s="56" t="s">
        <v>174</v>
      </c>
      <c r="M134" s="56" t="s">
        <v>174</v>
      </c>
      <c r="N134" s="57" t="s">
        <v>263</v>
      </c>
      <c r="O134" s="56" t="s">
        <v>264</v>
      </c>
      <c r="P134" s="56" t="s">
        <v>174</v>
      </c>
      <c r="R134" s="56" t="s">
        <v>174</v>
      </c>
      <c r="S134" s="57" t="s">
        <v>303</v>
      </c>
      <c r="T134" s="56" t="s">
        <v>304</v>
      </c>
      <c r="U134" s="56" t="s">
        <v>174</v>
      </c>
    </row>
    <row r="135" customFormat="false" ht="15" hidden="false" customHeight="true" outlineLevel="0" collapsed="false">
      <c r="B135" s="58" t="s">
        <v>266</v>
      </c>
      <c r="C135" s="59"/>
      <c r="D135" s="60"/>
      <c r="E135" s="58"/>
      <c r="G135" s="58"/>
      <c r="H135" s="59"/>
      <c r="I135" s="60"/>
      <c r="J135" s="58" t="s">
        <v>266</v>
      </c>
      <c r="M135" s="58"/>
      <c r="N135" s="59"/>
      <c r="O135" s="60" t="n">
        <v>110000</v>
      </c>
      <c r="P135" s="58" t="s">
        <v>266</v>
      </c>
      <c r="R135" s="58"/>
      <c r="S135" s="59"/>
      <c r="T135" s="60"/>
      <c r="U135" s="58" t="s">
        <v>266</v>
      </c>
    </row>
    <row r="136" customFormat="false" ht="15" hidden="false" customHeight="true" outlineLevel="0" collapsed="false">
      <c r="B136" s="61" t="s">
        <v>180</v>
      </c>
      <c r="C136" s="62" t="n">
        <v>240000</v>
      </c>
      <c r="D136" s="50"/>
      <c r="E136" s="61"/>
      <c r="G136" s="61"/>
      <c r="H136" s="62"/>
      <c r="I136" s="50" t="n">
        <v>40000</v>
      </c>
      <c r="J136" s="61" t="n">
        <v>7</v>
      </c>
      <c r="M136" s="61" t="n">
        <v>11</v>
      </c>
      <c r="N136" s="62" t="n">
        <v>30000</v>
      </c>
      <c r="O136" s="50" t="n">
        <v>327000</v>
      </c>
      <c r="P136" s="61" t="s">
        <v>250</v>
      </c>
      <c r="R136" s="61" t="s">
        <v>224</v>
      </c>
      <c r="S136" s="62" t="n">
        <v>439000</v>
      </c>
      <c r="T136" s="50" t="n">
        <v>944000</v>
      </c>
      <c r="U136" s="61" t="s">
        <v>219</v>
      </c>
    </row>
    <row r="137" customFormat="false" ht="15" hidden="false" customHeight="true" outlineLevel="0" collapsed="false">
      <c r="B137" s="61"/>
      <c r="C137" s="62"/>
      <c r="D137" s="50"/>
      <c r="E137" s="61"/>
      <c r="G137" s="61"/>
      <c r="H137" s="62"/>
      <c r="I137" s="50"/>
      <c r="J137" s="61"/>
      <c r="M137" s="61"/>
      <c r="N137" s="62"/>
      <c r="O137" s="50"/>
      <c r="P137" s="61"/>
      <c r="R137" s="61" t="n">
        <v>6</v>
      </c>
      <c r="S137" s="62" t="n">
        <v>150000</v>
      </c>
      <c r="T137" s="50"/>
      <c r="U137" s="61"/>
    </row>
    <row r="138" customFormat="false" ht="15" hidden="false" customHeight="true" outlineLevel="0" collapsed="false">
      <c r="B138" s="61"/>
      <c r="C138" s="62"/>
      <c r="D138" s="50"/>
      <c r="E138" s="61"/>
      <c r="G138" s="61"/>
      <c r="H138" s="62"/>
      <c r="I138" s="50"/>
      <c r="J138" s="61"/>
      <c r="M138" s="61"/>
      <c r="N138" s="62"/>
      <c r="O138" s="50"/>
      <c r="P138" s="61"/>
      <c r="R138" s="61" t="n">
        <v>12</v>
      </c>
      <c r="S138" s="62" t="n">
        <v>7000</v>
      </c>
      <c r="T138" s="50"/>
      <c r="U138" s="61"/>
    </row>
    <row r="139" customFormat="false" ht="15" hidden="false" customHeight="true" outlineLevel="0" collapsed="false">
      <c r="B139" s="61"/>
      <c r="C139" s="62"/>
      <c r="D139" s="50"/>
      <c r="E139" s="61"/>
      <c r="G139" s="61"/>
      <c r="H139" s="62"/>
      <c r="I139" s="50"/>
      <c r="J139" s="61"/>
      <c r="M139" s="61"/>
      <c r="N139" s="62"/>
      <c r="O139" s="50"/>
      <c r="P139" s="61"/>
      <c r="R139" s="61" t="n">
        <v>14</v>
      </c>
      <c r="S139" s="62" t="n">
        <v>10000</v>
      </c>
      <c r="T139" s="50"/>
      <c r="U139" s="61"/>
    </row>
    <row r="140" customFormat="false" ht="15" hidden="false" customHeight="true" outlineLevel="0" collapsed="false">
      <c r="B140" s="61"/>
      <c r="C140" s="62"/>
      <c r="D140" s="50"/>
      <c r="E140" s="61"/>
      <c r="G140" s="61"/>
      <c r="H140" s="62"/>
      <c r="I140" s="50"/>
      <c r="J140" s="61"/>
      <c r="M140" s="61"/>
      <c r="N140" s="62"/>
      <c r="O140" s="50"/>
      <c r="P140" s="61"/>
      <c r="R140" s="61" t="s">
        <v>242</v>
      </c>
      <c r="S140" s="62" t="n">
        <v>5000</v>
      </c>
      <c r="T140" s="50"/>
      <c r="U140" s="61"/>
    </row>
    <row r="141" customFormat="false" ht="15" hidden="false" customHeight="true" outlineLevel="0" collapsed="false">
      <c r="B141" s="61"/>
      <c r="C141" s="62"/>
      <c r="D141" s="50"/>
      <c r="E141" s="61"/>
      <c r="G141" s="61"/>
      <c r="H141" s="62"/>
      <c r="I141" s="50"/>
      <c r="J141" s="61"/>
      <c r="M141" s="61"/>
      <c r="N141" s="62"/>
      <c r="O141" s="50"/>
      <c r="P141" s="61"/>
      <c r="R141" s="61" t="s">
        <v>246</v>
      </c>
      <c r="S141" s="62" t="n">
        <v>6000</v>
      </c>
      <c r="T141" s="50"/>
      <c r="U141" s="61"/>
    </row>
    <row r="142" customFormat="false" ht="15" hidden="false" customHeight="true" outlineLevel="0" collapsed="false">
      <c r="B142" s="61"/>
      <c r="C142" s="62"/>
      <c r="D142" s="50"/>
      <c r="E142" s="61"/>
      <c r="G142" s="61"/>
      <c r="H142" s="62"/>
      <c r="I142" s="50"/>
      <c r="J142" s="61"/>
      <c r="M142" s="61"/>
      <c r="N142" s="62"/>
      <c r="O142" s="50"/>
      <c r="P142" s="61"/>
      <c r="R142" s="61" t="s">
        <v>250</v>
      </c>
      <c r="S142" s="62" t="n">
        <v>327000</v>
      </c>
      <c r="T142" s="50"/>
      <c r="U142" s="61"/>
    </row>
    <row r="143" customFormat="false" ht="15" hidden="false" customHeight="true" outlineLevel="0" collapsed="false">
      <c r="B143" s="61"/>
      <c r="C143" s="62"/>
      <c r="D143" s="50"/>
      <c r="E143" s="61"/>
      <c r="G143" s="61"/>
      <c r="H143" s="62"/>
      <c r="I143" s="50"/>
      <c r="J143" s="61"/>
      <c r="M143" s="61"/>
      <c r="N143" s="62"/>
      <c r="O143" s="50"/>
      <c r="P143" s="61"/>
      <c r="R143" s="61"/>
      <c r="S143" s="62"/>
      <c r="T143" s="50"/>
      <c r="U143" s="61"/>
    </row>
    <row r="144" customFormat="false" ht="15" hidden="false" customHeight="true" outlineLevel="0" collapsed="false">
      <c r="B144" s="61"/>
      <c r="C144" s="62"/>
      <c r="D144" s="50"/>
      <c r="E144" s="61"/>
      <c r="G144" s="61"/>
      <c r="H144" s="62"/>
      <c r="I144" s="50"/>
      <c r="J144" s="61"/>
      <c r="M144" s="61"/>
      <c r="N144" s="62"/>
      <c r="O144" s="50"/>
      <c r="P144" s="61"/>
      <c r="R144" s="61"/>
      <c r="S144" s="62"/>
      <c r="T144" s="50"/>
      <c r="U144" s="61"/>
    </row>
    <row r="145" customFormat="false" ht="15" hidden="false" customHeight="true" outlineLevel="0" collapsed="false">
      <c r="B145" s="61"/>
      <c r="C145" s="62"/>
      <c r="D145" s="50"/>
      <c r="E145" s="61"/>
      <c r="G145" s="61"/>
      <c r="H145" s="62"/>
      <c r="I145" s="50"/>
      <c r="J145" s="61"/>
      <c r="M145" s="61"/>
      <c r="N145" s="62"/>
      <c r="O145" s="50"/>
      <c r="P145" s="61"/>
      <c r="R145" s="61"/>
      <c r="S145" s="62"/>
      <c r="T145" s="50"/>
      <c r="U145" s="61"/>
    </row>
    <row r="146" customFormat="false" ht="15" hidden="false" customHeight="true" outlineLevel="0" collapsed="false">
      <c r="B146" s="61"/>
      <c r="C146" s="62"/>
      <c r="D146" s="50"/>
      <c r="E146" s="61"/>
      <c r="G146" s="61"/>
      <c r="H146" s="62"/>
      <c r="I146" s="50"/>
      <c r="J146" s="61"/>
      <c r="M146" s="61"/>
      <c r="N146" s="62"/>
      <c r="O146" s="50"/>
      <c r="P146" s="61"/>
      <c r="R146" s="61"/>
      <c r="S146" s="62"/>
      <c r="T146" s="50"/>
      <c r="U146" s="61"/>
    </row>
    <row r="147" customFormat="false" ht="15" hidden="false" customHeight="true" outlineLevel="0" collapsed="false">
      <c r="B147" s="61"/>
      <c r="C147" s="62"/>
      <c r="D147" s="50"/>
      <c r="E147" s="61"/>
      <c r="G147" s="61"/>
      <c r="H147" s="62"/>
      <c r="I147" s="50"/>
      <c r="J147" s="61"/>
      <c r="M147" s="61"/>
      <c r="N147" s="62"/>
      <c r="O147" s="50"/>
      <c r="P147" s="61"/>
      <c r="R147" s="61"/>
      <c r="S147" s="62"/>
      <c r="T147" s="50"/>
      <c r="U147" s="61"/>
    </row>
    <row r="148" customFormat="false" ht="15" hidden="false" customHeight="true" outlineLevel="0" collapsed="false">
      <c r="B148" s="61"/>
      <c r="C148" s="62"/>
      <c r="D148" s="50"/>
      <c r="E148" s="61"/>
      <c r="G148" s="61"/>
      <c r="H148" s="62"/>
      <c r="I148" s="50"/>
      <c r="J148" s="61"/>
      <c r="M148" s="61"/>
      <c r="N148" s="62"/>
      <c r="O148" s="50"/>
      <c r="P148" s="61"/>
      <c r="R148" s="61"/>
      <c r="S148" s="62"/>
      <c r="T148" s="50"/>
      <c r="U148" s="61"/>
    </row>
    <row r="149" customFormat="false" ht="15" hidden="false" customHeight="true" outlineLevel="0" collapsed="false">
      <c r="B149" s="61"/>
      <c r="C149" s="62"/>
      <c r="D149" s="50"/>
      <c r="E149" s="61"/>
      <c r="G149" s="61"/>
      <c r="H149" s="62"/>
      <c r="I149" s="50"/>
      <c r="J149" s="61"/>
      <c r="M149" s="61"/>
      <c r="N149" s="62"/>
      <c r="O149" s="50"/>
      <c r="P149" s="61"/>
      <c r="R149" s="61"/>
      <c r="S149" s="62"/>
      <c r="T149" s="50"/>
      <c r="U149" s="61"/>
    </row>
    <row r="150" customFormat="false" ht="15" hidden="false" customHeight="true" outlineLevel="0" collapsed="false">
      <c r="B150" s="61"/>
      <c r="C150" s="62"/>
      <c r="D150" s="50"/>
      <c r="E150" s="61"/>
      <c r="G150" s="61"/>
      <c r="H150" s="62"/>
      <c r="I150" s="50"/>
      <c r="J150" s="61"/>
      <c r="M150" s="61"/>
      <c r="N150" s="62"/>
      <c r="O150" s="50"/>
      <c r="P150" s="61"/>
      <c r="R150" s="61"/>
      <c r="S150" s="62"/>
      <c r="T150" s="50"/>
      <c r="U150" s="61"/>
    </row>
    <row r="151" customFormat="false" ht="15" hidden="false" customHeight="true" outlineLevel="0" collapsed="false">
      <c r="B151" s="63" t="s">
        <v>283</v>
      </c>
      <c r="C151" s="64" t="n">
        <f aca="false">SUM(C135:C150)</f>
        <v>240000</v>
      </c>
      <c r="D151" s="65" t="n">
        <f aca="false">SUM(D135:D150)</f>
        <v>0</v>
      </c>
      <c r="E151" s="63" t="s">
        <v>283</v>
      </c>
      <c r="G151" s="63" t="s">
        <v>283</v>
      </c>
      <c r="H151" s="64" t="n">
        <f aca="false">SUM(H135:H150)</f>
        <v>0</v>
      </c>
      <c r="I151" s="65" t="n">
        <f aca="false">SUM(I135:I150)</f>
        <v>40000</v>
      </c>
      <c r="J151" s="63" t="s">
        <v>283</v>
      </c>
      <c r="M151" s="63" t="s">
        <v>283</v>
      </c>
      <c r="N151" s="64" t="n">
        <f aca="false">SUM(N135:N150)</f>
        <v>30000</v>
      </c>
      <c r="O151" s="65" t="n">
        <f aca="false">SUM(O135:O150)</f>
        <v>437000</v>
      </c>
      <c r="P151" s="63" t="s">
        <v>283</v>
      </c>
      <c r="R151" s="63" t="s">
        <v>283</v>
      </c>
      <c r="S151" s="64" t="n">
        <f aca="false">SUM(S135:S150)</f>
        <v>944000</v>
      </c>
      <c r="T151" s="65" t="n">
        <f aca="false">SUM(T135:T150)</f>
        <v>944000</v>
      </c>
      <c r="U151" s="63" t="s">
        <v>283</v>
      </c>
    </row>
    <row r="152" customFormat="false" ht="15" hidden="false" customHeight="true" outlineLevel="0" collapsed="false">
      <c r="B152" s="66" t="s">
        <v>285</v>
      </c>
      <c r="C152" s="67" t="n">
        <f aca="false">C151-D151</f>
        <v>240000</v>
      </c>
      <c r="D152" s="68"/>
      <c r="H152" s="69"/>
      <c r="I152" s="72" t="n">
        <f aca="false">I151-H151</f>
        <v>40000</v>
      </c>
      <c r="J152" s="66" t="s">
        <v>285</v>
      </c>
      <c r="N152" s="69"/>
      <c r="O152" s="74" t="n">
        <f aca="false">O151-N151</f>
        <v>407000</v>
      </c>
      <c r="P152" s="75" t="s">
        <v>285</v>
      </c>
      <c r="S152" s="69"/>
      <c r="T152" s="77" t="n">
        <f aca="false">T151-S151</f>
        <v>0</v>
      </c>
      <c r="U152" s="78" t="s">
        <v>285</v>
      </c>
    </row>
    <row r="155" customFormat="false" ht="15" hidden="false" customHeight="true" outlineLevel="0" collapsed="false">
      <c r="B155" s="79" t="s">
        <v>305</v>
      </c>
      <c r="C155" s="79"/>
      <c r="D155" s="79"/>
      <c r="E155" s="79"/>
      <c r="F155" s="79"/>
      <c r="G155" s="79"/>
      <c r="H155" s="79"/>
      <c r="I155" s="79"/>
      <c r="J155" s="79"/>
      <c r="L155" s="80" t="n">
        <f aca="false">(C25+H25+C46+H46+C67+H67+C88+H88+C109+H109+C130+H130+C151+H151+N25+S25+N46+S46+N67+S67+N88+S88+N109+S109+N130+S130+N151+S151)-(C9+H9+C30+H30+C51+H51+C72+H72+C93+H93+C114+H114+C135+H135+N9+S9+N30+S30+N51+S51+N72+S72+N93+S93+N114+S114+N135+S135)</f>
        <v>4614000</v>
      </c>
      <c r="M155" s="80"/>
      <c r="N155" s="80"/>
    </row>
    <row r="156" customFormat="false" ht="15" hidden="false" customHeight="true" outlineLevel="0" collapsed="false">
      <c r="B156" s="79" t="s">
        <v>306</v>
      </c>
      <c r="C156" s="79"/>
      <c r="D156" s="79"/>
      <c r="E156" s="79"/>
      <c r="F156" s="79"/>
      <c r="G156" s="79"/>
      <c r="H156" s="79"/>
      <c r="I156" s="79"/>
      <c r="J156" s="79"/>
      <c r="L156" s="80" t="n">
        <f aca="false">(D25+I25+D46+I46+D67+I67+D88+I88+D109+I109+D130+I130+D151+I151+O25+T25+O46+T46+O67+T67+O88+T88+O109+T109+O130+T130+O151+T151)-(D9+I9+D30+I30+D51+I51+D72+I72+D93+I93+D114+I114+D135+I135+O9+T9+O30+T30+O51+T51+O72+T72+O93+T93+O114+T114+O135+T135)</f>
        <v>4614000</v>
      </c>
      <c r="M156" s="80"/>
      <c r="N156" s="80"/>
    </row>
    <row r="157" customFormat="false" ht="15" hidden="false" customHeight="true" outlineLevel="0" collapsed="false">
      <c r="B157" s="79" t="s">
        <v>307</v>
      </c>
      <c r="C157" s="79"/>
      <c r="D157" s="79"/>
      <c r="E157" s="79"/>
      <c r="F157" s="79"/>
      <c r="G157" s="79"/>
      <c r="H157" s="79"/>
      <c r="I157" s="79"/>
      <c r="J157" s="79"/>
      <c r="L157" s="40" t="str">
        <f aca="false">IF(ABS(L155-L156)&lt;0.5,"OK","ERROR: "&amp;TEXT(L155-L156,"#,##0"))</f>
        <v>OK</v>
      </c>
      <c r="M157" s="40"/>
      <c r="N157" s="40"/>
    </row>
  </sheetData>
  <mergeCells count="39">
    <mergeCell ref="B1:T1"/>
    <mergeCell ref="D2:I2"/>
    <mergeCell ref="N2:R2"/>
    <mergeCell ref="B5:J5"/>
    <mergeCell ref="L5:T5"/>
    <mergeCell ref="B7:E7"/>
    <mergeCell ref="G7:J7"/>
    <mergeCell ref="M7:P7"/>
    <mergeCell ref="R7:U7"/>
    <mergeCell ref="B28:E28"/>
    <mergeCell ref="G28:J28"/>
    <mergeCell ref="M28:P28"/>
    <mergeCell ref="R28:U28"/>
    <mergeCell ref="B49:E49"/>
    <mergeCell ref="G49:J49"/>
    <mergeCell ref="M49:P49"/>
    <mergeCell ref="R49:U49"/>
    <mergeCell ref="B70:E70"/>
    <mergeCell ref="G70:J70"/>
    <mergeCell ref="M70:P70"/>
    <mergeCell ref="R70:U70"/>
    <mergeCell ref="B91:E91"/>
    <mergeCell ref="G91:J91"/>
    <mergeCell ref="M91:P91"/>
    <mergeCell ref="R91:U91"/>
    <mergeCell ref="B112:E112"/>
    <mergeCell ref="G112:J112"/>
    <mergeCell ref="M112:P112"/>
    <mergeCell ref="R112:U112"/>
    <mergeCell ref="B133:E133"/>
    <mergeCell ref="G133:J133"/>
    <mergeCell ref="M133:P133"/>
    <mergeCell ref="R133:U133"/>
    <mergeCell ref="B155:J155"/>
    <mergeCell ref="L155:N155"/>
    <mergeCell ref="B156:J156"/>
    <mergeCell ref="L156:N156"/>
    <mergeCell ref="B157:J157"/>
    <mergeCell ref="L157:N157"/>
  </mergeCells>
  <conditionalFormatting sqref="L157">
    <cfRule type="expression" priority="2" aboveAverage="0" equalAverage="0" bottom="0" percent="0" rank="0" text="" dxfId="0">
      <formula>L157="OK"</formula>
    </cfRule>
    <cfRule type="expression" priority="3" aboveAverage="0" equalAverage="0" bottom="0" percent="0" rank="0" text="" dxfId="1">
      <formula>LEFT(L157,5)="ERROR"</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29FCF"/>
    <pageSetUpPr fitToPage="true"/>
  </sheetPr>
  <dimension ref="B1:G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5" min="3" style="1" width="15"/>
    <col collapsed="false" customWidth="true" hidden="false" outlineLevel="0" max="6" min="6" style="1" width="3"/>
    <col collapsed="false" customWidth="true" hidden="false" outlineLevel="0" max="7" min="7" style="1" width="78"/>
  </cols>
  <sheetData>
    <row r="1" customFormat="false" ht="17.25" hidden="false" customHeight="true" outlineLevel="0" collapsed="false">
      <c r="B1" s="2" t="s">
        <v>308</v>
      </c>
      <c r="C1" s="2"/>
      <c r="D1" s="2"/>
      <c r="E1" s="2"/>
    </row>
    <row r="2" customFormat="false" ht="15" hidden="false" customHeight="true" outlineLevel="0" collapsed="false">
      <c r="B2" s="81" t="str">
        <f aca="false">Guide!$C$3&amp;" – "&amp;Guide!$C$4&amp;"  (in "&amp;Guide!$C$5&amp;")"</f>
        <v>Maria Soldevila (company) – 2011  (in €)</v>
      </c>
    </row>
    <row r="4" customFormat="false" ht="15" hidden="false" customHeight="true" outlineLevel="0" collapsed="false">
      <c r="B4" s="82"/>
      <c r="C4" s="82" t="s">
        <v>309</v>
      </c>
      <c r="D4" s="82" t="s">
        <v>310</v>
      </c>
      <c r="E4" s="82" t="s">
        <v>311</v>
      </c>
      <c r="G4" s="42" t="s">
        <v>179</v>
      </c>
    </row>
    <row r="5" customFormat="false" ht="15" hidden="false" customHeight="true" outlineLevel="0" collapsed="false">
      <c r="B5" s="83" t="s">
        <v>255</v>
      </c>
      <c r="C5" s="83"/>
      <c r="D5" s="83"/>
      <c r="E5" s="83"/>
      <c r="G5" s="47" t="s">
        <v>312</v>
      </c>
    </row>
    <row r="6" customFormat="false" ht="21.75" hidden="false" customHeight="true" outlineLevel="0" collapsed="false">
      <c r="B6" s="84" t="s">
        <v>313</v>
      </c>
      <c r="C6" s="85"/>
      <c r="D6" s="85"/>
      <c r="E6" s="85"/>
      <c r="G6" s="51" t="s">
        <v>314</v>
      </c>
    </row>
    <row r="7" customFormat="false" ht="15" hidden="false" customHeight="true" outlineLevel="0" collapsed="false">
      <c r="B7" s="22" t="str">
        <f aca="false">"   "&amp;'T-Accounts'!$B$7</f>
        <v>   Cash &amp; cash equivalents</v>
      </c>
      <c r="C7" s="86" t="n">
        <f aca="false">'T-Accounts'!$C$9</f>
        <v>101000</v>
      </c>
      <c r="D7" s="86" t="n">
        <f aca="false">'T-Accounts'!$C$26</f>
        <v>103000</v>
      </c>
      <c r="E7" s="87" t="n">
        <f aca="false">D7-C7</f>
        <v>2000</v>
      </c>
      <c r="G7" s="51" t="s">
        <v>315</v>
      </c>
    </row>
    <row r="8" customFormat="false" ht="15" hidden="false" customHeight="true" outlineLevel="0" collapsed="false">
      <c r="B8" s="22" t="str">
        <f aca="false">"   "&amp;'T-Accounts'!$G$7</f>
        <v>   Marketable securities</v>
      </c>
      <c r="C8" s="86" t="n">
        <f aca="false">'T-Accounts'!$H$9</f>
        <v>20000</v>
      </c>
      <c r="D8" s="86" t="n">
        <f aca="false">'T-Accounts'!$H$26</f>
        <v>20000</v>
      </c>
      <c r="E8" s="87" t="n">
        <f aca="false">D8-C8</f>
        <v>0</v>
      </c>
      <c r="G8" s="47" t="s">
        <v>316</v>
      </c>
    </row>
    <row r="9" customFormat="false" ht="15" hidden="false" customHeight="true" outlineLevel="0" collapsed="false">
      <c r="B9" s="22" t="str">
        <f aca="false">"   "&amp;'T-Accounts'!$B$28</f>
        <v>   Accounts receivable</v>
      </c>
      <c r="C9" s="86" t="n">
        <f aca="false">'T-Accounts'!$C$30</f>
        <v>90000</v>
      </c>
      <c r="D9" s="86" t="n">
        <f aca="false">'T-Accounts'!$C$47</f>
        <v>174000</v>
      </c>
      <c r="E9" s="87" t="n">
        <f aca="false">D9-C9</f>
        <v>84000</v>
      </c>
      <c r="G9" s="51" t="s">
        <v>317</v>
      </c>
    </row>
    <row r="10" customFormat="false" ht="15" hidden="false" customHeight="true" outlineLevel="0" collapsed="false">
      <c r="B10" s="22" t="str">
        <f aca="false">"   "&amp;'T-Accounts'!$G$28</f>
        <v>   Finished goods inventory</v>
      </c>
      <c r="C10" s="86" t="n">
        <f aca="false">'T-Accounts'!$H$30</f>
        <v>32000</v>
      </c>
      <c r="D10" s="86" t="n">
        <f aca="false">'T-Accounts'!$H$47</f>
        <v>37000</v>
      </c>
      <c r="E10" s="87" t="n">
        <f aca="false">D10-C10</f>
        <v>5000</v>
      </c>
      <c r="G10" s="51" t="s">
        <v>318</v>
      </c>
    </row>
    <row r="11" customFormat="false" ht="15" hidden="false" customHeight="true" outlineLevel="0" collapsed="false">
      <c r="B11" s="22" t="str">
        <f aca="false">"   "&amp;'T-Accounts'!$B$49</f>
        <v>   Raw materials inventory</v>
      </c>
      <c r="C11" s="86" t="n">
        <f aca="false">'T-Accounts'!$C$51</f>
        <v>0</v>
      </c>
      <c r="D11" s="86" t="n">
        <f aca="false">'T-Accounts'!$C$68</f>
        <v>28000</v>
      </c>
      <c r="E11" s="87" t="n">
        <f aca="false">D11-C11</f>
        <v>28000</v>
      </c>
      <c r="G11" s="51" t="s">
        <v>319</v>
      </c>
    </row>
    <row r="12" customFormat="false" ht="15" hidden="false" customHeight="true" outlineLevel="0" collapsed="false">
      <c r="B12" s="22" t="str">
        <f aca="false">"   "&amp;'T-Accounts'!$G$49</f>
        <v>   Work in progress (WIP)</v>
      </c>
      <c r="C12" s="86" t="n">
        <f aca="false">'T-Accounts'!$H$51</f>
        <v>0</v>
      </c>
      <c r="D12" s="86" t="n">
        <f aca="false">'T-Accounts'!$H$68</f>
        <v>0</v>
      </c>
      <c r="E12" s="87" t="n">
        <f aca="false">D12-C12</f>
        <v>0</v>
      </c>
      <c r="G12" s="51" t="s">
        <v>320</v>
      </c>
    </row>
    <row r="13" customFormat="false" ht="15" hidden="false" customHeight="true" outlineLevel="0" collapsed="false">
      <c r="B13" s="84" t="s">
        <v>321</v>
      </c>
      <c r="C13" s="88" t="n">
        <f aca="false">C7+C8+C9+C10+C11+C12</f>
        <v>243000</v>
      </c>
      <c r="D13" s="88" t="n">
        <f aca="false">D7+D8+D9+D10+D11+D12</f>
        <v>362000</v>
      </c>
      <c r="E13" s="88" t="n">
        <f aca="false">E7+E8+E9+E10+E11+E12</f>
        <v>119000</v>
      </c>
      <c r="G13" s="51" t="s">
        <v>322</v>
      </c>
    </row>
    <row r="14" customFormat="false" ht="15" hidden="false" customHeight="true" outlineLevel="0" collapsed="false">
      <c r="B14" s="84" t="s">
        <v>323</v>
      </c>
      <c r="C14" s="85"/>
      <c r="D14" s="85"/>
      <c r="E14" s="85"/>
      <c r="G14" s="47" t="s">
        <v>324</v>
      </c>
    </row>
    <row r="15" customFormat="false" ht="21.75" hidden="false" customHeight="true" outlineLevel="0" collapsed="false">
      <c r="B15" s="22" t="str">
        <f aca="false">"   "&amp;'T-Accounts'!$B$70</f>
        <v>   Land</v>
      </c>
      <c r="C15" s="86" t="n">
        <f aca="false">'T-Accounts'!$C$72</f>
        <v>300000</v>
      </c>
      <c r="D15" s="86" t="n">
        <f aca="false">'T-Accounts'!$C$89</f>
        <v>300000</v>
      </c>
      <c r="E15" s="87" t="n">
        <f aca="false">D15-C15</f>
        <v>0</v>
      </c>
      <c r="G15" s="51" t="s">
        <v>325</v>
      </c>
    </row>
    <row r="16" customFormat="false" ht="15" hidden="false" customHeight="true" outlineLevel="0" collapsed="false">
      <c r="B16" s="22" t="str">
        <f aca="false">"   "&amp;'T-Accounts'!$B$91</f>
        <v>   Buildings</v>
      </c>
      <c r="C16" s="86" t="n">
        <f aca="false">'T-Accounts'!$C$93</f>
        <v>100000</v>
      </c>
      <c r="D16" s="86" t="n">
        <f aca="false">'T-Accounts'!$C$110</f>
        <v>100000</v>
      </c>
      <c r="E16" s="87" t="n">
        <f aca="false">D16-C16</f>
        <v>0</v>
      </c>
      <c r="G16" s="47" t="s">
        <v>326</v>
      </c>
    </row>
    <row r="17" customFormat="false" ht="21.75" hidden="false" customHeight="true" outlineLevel="0" collapsed="false">
      <c r="B17" s="22" t="str">
        <f aca="false">"      Less: "&amp;'T-Accounts'!$G$91</f>
        <v>      Less: Accum. depreciation – Buildings</v>
      </c>
      <c r="C17" s="86" t="n">
        <f aca="false">-'T-Accounts'!$I$93</f>
        <v>-5000</v>
      </c>
      <c r="D17" s="86" t="n">
        <f aca="false">-'T-Accounts'!$I$110</f>
        <v>-10000</v>
      </c>
      <c r="E17" s="87" t="n">
        <f aca="false">D17-C17</f>
        <v>-5000</v>
      </c>
      <c r="G17" s="51" t="s">
        <v>327</v>
      </c>
    </row>
    <row r="18" customFormat="false" ht="15" hidden="false" customHeight="true" outlineLevel="0" collapsed="false">
      <c r="B18" s="22" t="s">
        <v>328</v>
      </c>
      <c r="C18" s="89" t="n">
        <f aca="false">C16+C17</f>
        <v>95000</v>
      </c>
      <c r="D18" s="89" t="n">
        <f aca="false">D16+D17</f>
        <v>90000</v>
      </c>
      <c r="E18" s="89" t="n">
        <f aca="false">E16+E17</f>
        <v>-5000</v>
      </c>
      <c r="G18" s="47" t="s">
        <v>292</v>
      </c>
    </row>
    <row r="19" customFormat="false" ht="15" hidden="false" customHeight="true" outlineLevel="0" collapsed="false">
      <c r="B19" s="22" t="str">
        <f aca="false">"   "&amp;'T-Accounts'!$B$112</f>
        <v>   Furniture &amp; equipment</v>
      </c>
      <c r="C19" s="86" t="n">
        <f aca="false">'T-Accounts'!$C$114</f>
        <v>20000</v>
      </c>
      <c r="D19" s="86" t="n">
        <f aca="false">'T-Accounts'!$C$131</f>
        <v>25000</v>
      </c>
      <c r="E19" s="87" t="n">
        <f aca="false">D19-C19</f>
        <v>5000</v>
      </c>
      <c r="G19" s="51" t="s">
        <v>329</v>
      </c>
    </row>
    <row r="20" customFormat="false" ht="15" hidden="false" customHeight="true" outlineLevel="0" collapsed="false">
      <c r="B20" s="22" t="str">
        <f aca="false">"      Less: "&amp;'T-Accounts'!$G$112</f>
        <v>      Less: Accum. depreciation – Furn. &amp; equip.</v>
      </c>
      <c r="C20" s="86" t="n">
        <f aca="false">-'T-Accounts'!$I$114</f>
        <v>-4000</v>
      </c>
      <c r="D20" s="86" t="n">
        <f aca="false">-'T-Accounts'!$I$131</f>
        <v>-0</v>
      </c>
      <c r="E20" s="87" t="n">
        <f aca="false">D20-C20</f>
        <v>4000</v>
      </c>
    </row>
    <row r="21" customFormat="false" ht="15" hidden="false" customHeight="true" outlineLevel="0" collapsed="false">
      <c r="B21" s="22" t="s">
        <v>330</v>
      </c>
      <c r="C21" s="89" t="n">
        <f aca="false">C19+C20</f>
        <v>16000</v>
      </c>
      <c r="D21" s="89" t="n">
        <f aca="false">D19+D20</f>
        <v>25000</v>
      </c>
      <c r="E21" s="89" t="n">
        <f aca="false">E19+E20</f>
        <v>9000</v>
      </c>
    </row>
    <row r="22" customFormat="false" ht="15" hidden="false" customHeight="true" outlineLevel="0" collapsed="false">
      <c r="B22" s="22" t="str">
        <f aca="false">"   "&amp;'T-Accounts'!$B$133</f>
        <v>   Machinery</v>
      </c>
      <c r="C22" s="86" t="n">
        <f aca="false">'T-Accounts'!$C$135</f>
        <v>0</v>
      </c>
      <c r="D22" s="86" t="n">
        <f aca="false">'T-Accounts'!$C$152</f>
        <v>240000</v>
      </c>
      <c r="E22" s="87" t="n">
        <f aca="false">D22-C22</f>
        <v>240000</v>
      </c>
    </row>
    <row r="23" customFormat="false" ht="15" hidden="false" customHeight="true" outlineLevel="0" collapsed="false">
      <c r="B23" s="22" t="str">
        <f aca="false">"      Less: "&amp;'T-Accounts'!$G$133</f>
        <v>      Less: Accum. depreciation – Machinery</v>
      </c>
      <c r="C23" s="86" t="n">
        <f aca="false">-'T-Accounts'!$I$135</f>
        <v>-0</v>
      </c>
      <c r="D23" s="86" t="n">
        <f aca="false">-'T-Accounts'!$I$152</f>
        <v>-40000</v>
      </c>
      <c r="E23" s="87" t="n">
        <f aca="false">D23-C23</f>
        <v>-40000</v>
      </c>
    </row>
    <row r="24" customFormat="false" ht="15" hidden="false" customHeight="true" outlineLevel="0" collapsed="false">
      <c r="B24" s="22" t="s">
        <v>331</v>
      </c>
      <c r="C24" s="89" t="n">
        <f aca="false">C22+C23</f>
        <v>0</v>
      </c>
      <c r="D24" s="89" t="n">
        <f aca="false">D22+D23</f>
        <v>200000</v>
      </c>
      <c r="E24" s="89" t="n">
        <f aca="false">E22+E23</f>
        <v>200000</v>
      </c>
    </row>
    <row r="25" customFormat="false" ht="15" hidden="false" customHeight="true" outlineLevel="0" collapsed="false">
      <c r="B25" s="22" t="str">
        <f aca="false">"   "&amp;'T-Accounts'!$G$70</f>
        <v>   Website (net of amortization)</v>
      </c>
      <c r="C25" s="86" t="n">
        <f aca="false">'T-Accounts'!$H$72</f>
        <v>6000</v>
      </c>
      <c r="D25" s="86" t="n">
        <f aca="false">'T-Accounts'!$H$89</f>
        <v>0</v>
      </c>
      <c r="E25" s="87" t="n">
        <f aca="false">D25-C25</f>
        <v>-6000</v>
      </c>
    </row>
    <row r="26" customFormat="false" ht="15" hidden="false" customHeight="true" outlineLevel="0" collapsed="false">
      <c r="B26" s="84" t="s">
        <v>332</v>
      </c>
      <c r="C26" s="88" t="n">
        <f aca="false">C15+C18+C21+C24+C25</f>
        <v>417000</v>
      </c>
      <c r="D26" s="88" t="n">
        <f aca="false">D15+D18+D21+D24+D25</f>
        <v>615000</v>
      </c>
      <c r="E26" s="88" t="n">
        <f aca="false">E15+E18+E21+E24+E25</f>
        <v>198000</v>
      </c>
    </row>
    <row r="27" customFormat="false" ht="15" hidden="false" customHeight="true" outlineLevel="0" collapsed="false">
      <c r="B27" s="90" t="s">
        <v>333</v>
      </c>
      <c r="C27" s="91" t="n">
        <f aca="false">C13+C26</f>
        <v>660000</v>
      </c>
      <c r="D27" s="91" t="n">
        <f aca="false">D13+D26</f>
        <v>977000</v>
      </c>
      <c r="E27" s="91" t="n">
        <f aca="false">E13+E26</f>
        <v>317000</v>
      </c>
    </row>
    <row r="29" customFormat="false" ht="15" hidden="false" customHeight="true" outlineLevel="0" collapsed="false">
      <c r="B29" s="92" t="s">
        <v>256</v>
      </c>
      <c r="C29" s="92"/>
      <c r="D29" s="92"/>
      <c r="E29" s="92"/>
    </row>
    <row r="30" customFormat="false" ht="15" hidden="false" customHeight="true" outlineLevel="0" collapsed="false">
      <c r="B30" s="93" t="s">
        <v>53</v>
      </c>
      <c r="C30" s="94"/>
      <c r="D30" s="94"/>
      <c r="E30" s="94"/>
    </row>
    <row r="31" customFormat="false" ht="15" hidden="false" customHeight="true" outlineLevel="0" collapsed="false">
      <c r="B31" s="22" t="str">
        <f aca="false">"   "&amp;'T-Accounts'!$M$112</f>
        <v>   Share capital</v>
      </c>
      <c r="C31" s="86" t="n">
        <f aca="false">'T-Accounts'!$O$114</f>
        <v>500000</v>
      </c>
      <c r="D31" s="86" t="n">
        <f aca="false">'T-Accounts'!$O$131</f>
        <v>500000</v>
      </c>
      <c r="E31" s="87" t="n">
        <f aca="false">D31-C31</f>
        <v>0</v>
      </c>
    </row>
    <row r="32" customFormat="false" ht="15" hidden="false" customHeight="true" outlineLevel="0" collapsed="false">
      <c r="B32" s="22" t="str">
        <f aca="false">"   "&amp;'T-Accounts'!$R$112</f>
        <v>   Share premium</v>
      </c>
      <c r="C32" s="86" t="n">
        <f aca="false">'T-Accounts'!$T$114</f>
        <v>0</v>
      </c>
      <c r="D32" s="86" t="n">
        <f aca="false">'T-Accounts'!$T$131</f>
        <v>0</v>
      </c>
      <c r="E32" s="87" t="n">
        <f aca="false">D32-C32</f>
        <v>0</v>
      </c>
    </row>
    <row r="33" customFormat="false" ht="15" hidden="false" customHeight="true" outlineLevel="0" collapsed="false">
      <c r="B33" s="22" t="str">
        <f aca="false">"   "&amp;'T-Accounts'!$M$133</f>
        <v>   Retained profits</v>
      </c>
      <c r="C33" s="86" t="n">
        <f aca="false">'T-Accounts'!$O$135</f>
        <v>110000</v>
      </c>
      <c r="D33" s="86" t="n">
        <f aca="false">'T-Accounts'!$O$152</f>
        <v>407000</v>
      </c>
      <c r="E33" s="87" t="n">
        <f aca="false">D33-C33</f>
        <v>297000</v>
      </c>
    </row>
    <row r="34" customFormat="false" ht="15" hidden="false" customHeight="true" outlineLevel="0" collapsed="false">
      <c r="B34" s="22" t="str">
        <f aca="false">"   "&amp;'T-Accounts'!$R$133</f>
        <v>   Profit &amp; loss for the period (P&amp;L)</v>
      </c>
      <c r="C34" s="86" t="n">
        <f aca="false">'T-Accounts'!$T$135</f>
        <v>0</v>
      </c>
      <c r="D34" s="86" t="n">
        <f aca="false">'T-Accounts'!$T$152</f>
        <v>0</v>
      </c>
      <c r="E34" s="87" t="n">
        <f aca="false">D34-C34</f>
        <v>0</v>
      </c>
    </row>
    <row r="35" customFormat="false" ht="15" hidden="false" customHeight="true" outlineLevel="0" collapsed="false">
      <c r="B35" s="93" t="s">
        <v>334</v>
      </c>
      <c r="C35" s="95" t="n">
        <f aca="false">C31+C32+C33+C34</f>
        <v>610000</v>
      </c>
      <c r="D35" s="95" t="n">
        <f aca="false">D31+D32+D33+D34</f>
        <v>907000</v>
      </c>
      <c r="E35" s="95" t="n">
        <f aca="false">E31+E32+E33+E34</f>
        <v>297000</v>
      </c>
    </row>
    <row r="36" customFormat="false" ht="15" hidden="false" customHeight="true" outlineLevel="0" collapsed="false">
      <c r="B36" s="96" t="s">
        <v>335</v>
      </c>
      <c r="C36" s="97"/>
      <c r="D36" s="97"/>
      <c r="E36" s="97"/>
    </row>
    <row r="37" customFormat="false" ht="15" hidden="false" customHeight="true" outlineLevel="0" collapsed="false">
      <c r="B37" s="22" t="str">
        <f aca="false">"   "&amp;'T-Accounts'!$M$91</f>
        <v>   Long-term bank loan</v>
      </c>
      <c r="C37" s="86" t="n">
        <f aca="false">'T-Accounts'!$O$93</f>
        <v>0</v>
      </c>
      <c r="D37" s="86" t="n">
        <f aca="false">'T-Accounts'!$O$110</f>
        <v>0</v>
      </c>
      <c r="E37" s="87" t="n">
        <f aca="false">D37-C37</f>
        <v>0</v>
      </c>
    </row>
    <row r="38" customFormat="false" ht="15" hidden="false" customHeight="true" outlineLevel="0" collapsed="false">
      <c r="B38" s="22" t="str">
        <f aca="false">"   "&amp;'T-Accounts'!$R$91</f>
        <v>   Mortgage / obligations on land &amp; bldgs</v>
      </c>
      <c r="C38" s="86" t="n">
        <f aca="false">'T-Accounts'!$T$93</f>
        <v>0</v>
      </c>
      <c r="D38" s="86" t="n">
        <f aca="false">'T-Accounts'!$T$110</f>
        <v>0</v>
      </c>
      <c r="E38" s="87" t="n">
        <f aca="false">D38-C38</f>
        <v>0</v>
      </c>
    </row>
    <row r="39" customFormat="false" ht="15" hidden="false" customHeight="true" outlineLevel="0" collapsed="false">
      <c r="B39" s="96" t="s">
        <v>336</v>
      </c>
      <c r="C39" s="98" t="n">
        <f aca="false">C37+C38</f>
        <v>0</v>
      </c>
      <c r="D39" s="98" t="n">
        <f aca="false">D37+D38</f>
        <v>0</v>
      </c>
      <c r="E39" s="98" t="n">
        <f aca="false">E37+E38</f>
        <v>0</v>
      </c>
    </row>
    <row r="40" customFormat="false" ht="15" hidden="false" customHeight="true" outlineLevel="0" collapsed="false">
      <c r="B40" s="96" t="s">
        <v>337</v>
      </c>
      <c r="C40" s="97"/>
      <c r="D40" s="97"/>
      <c r="E40" s="97"/>
    </row>
    <row r="41" customFormat="false" ht="15" hidden="false" customHeight="true" outlineLevel="0" collapsed="false">
      <c r="B41" s="22" t="str">
        <f aca="false">"   "&amp;'T-Accounts'!$M$7</f>
        <v>   Accounts payable</v>
      </c>
      <c r="C41" s="86" t="n">
        <f aca="false">'T-Accounts'!$O$9</f>
        <v>50000</v>
      </c>
      <c r="D41" s="86" t="n">
        <f aca="false">'T-Accounts'!$O$26</f>
        <v>70000</v>
      </c>
      <c r="E41" s="87" t="n">
        <f aca="false">D41-C41</f>
        <v>20000</v>
      </c>
    </row>
    <row r="42" customFormat="false" ht="15" hidden="false" customHeight="true" outlineLevel="0" collapsed="false">
      <c r="B42" s="22" t="str">
        <f aca="false">"   "&amp;'T-Accounts'!$R$7</f>
        <v>   Salaries payable</v>
      </c>
      <c r="C42" s="86" t="n">
        <f aca="false">'T-Accounts'!$T$9</f>
        <v>0</v>
      </c>
      <c r="D42" s="86" t="n">
        <f aca="false">'T-Accounts'!$T$26</f>
        <v>0</v>
      </c>
      <c r="E42" s="87" t="n">
        <f aca="false">D42-C42</f>
        <v>0</v>
      </c>
    </row>
    <row r="43" customFormat="false" ht="15" hidden="false" customHeight="true" outlineLevel="0" collapsed="false">
      <c r="B43" s="22" t="str">
        <f aca="false">"   "&amp;'T-Accounts'!$M$28</f>
        <v>   Interest payable</v>
      </c>
      <c r="C43" s="86" t="n">
        <f aca="false">'T-Accounts'!$O$30</f>
        <v>0</v>
      </c>
      <c r="D43" s="86" t="n">
        <f aca="false">'T-Accounts'!$O$47</f>
        <v>0</v>
      </c>
      <c r="E43" s="87" t="n">
        <f aca="false">D43-C43</f>
        <v>0</v>
      </c>
    </row>
    <row r="44" customFormat="false" ht="15" hidden="false" customHeight="true" outlineLevel="0" collapsed="false">
      <c r="B44" s="22" t="str">
        <f aca="false">"   "&amp;'T-Accounts'!$R$28</f>
        <v>   Taxes payable</v>
      </c>
      <c r="C44" s="86" t="n">
        <f aca="false">'T-Accounts'!$T$30</f>
        <v>0</v>
      </c>
      <c r="D44" s="86" t="n">
        <f aca="false">'T-Accounts'!$T$47</f>
        <v>0</v>
      </c>
      <c r="E44" s="87" t="n">
        <f aca="false">D44-C44</f>
        <v>0</v>
      </c>
    </row>
    <row r="45" customFormat="false" ht="15" hidden="false" customHeight="true" outlineLevel="0" collapsed="false">
      <c r="B45" s="22" t="str">
        <f aca="false">"   "&amp;'T-Accounts'!$M$49</f>
        <v>   Deposits from customers (unearned rev.)</v>
      </c>
      <c r="C45" s="86" t="n">
        <f aca="false">'T-Accounts'!$O$51</f>
        <v>0</v>
      </c>
      <c r="D45" s="86" t="n">
        <f aca="false">'T-Accounts'!$O$68</f>
        <v>0</v>
      </c>
      <c r="E45" s="87" t="n">
        <f aca="false">D45-C45</f>
        <v>0</v>
      </c>
    </row>
    <row r="46" customFormat="false" ht="15" hidden="false" customHeight="true" outlineLevel="0" collapsed="false">
      <c r="B46" s="22" t="str">
        <f aca="false">"   "&amp;'T-Accounts'!$R$49</f>
        <v>   Dividends payable</v>
      </c>
      <c r="C46" s="86" t="n">
        <f aca="false">'T-Accounts'!$T$51</f>
        <v>0</v>
      </c>
      <c r="D46" s="86" t="n">
        <f aca="false">'T-Accounts'!$T$68</f>
        <v>0</v>
      </c>
      <c r="E46" s="87" t="n">
        <f aca="false">D46-C46</f>
        <v>0</v>
      </c>
    </row>
    <row r="47" customFormat="false" ht="15" hidden="false" customHeight="true" outlineLevel="0" collapsed="false">
      <c r="B47" s="22" t="str">
        <f aca="false">"   "&amp;'T-Accounts'!$M$70</f>
        <v>   Short-term loans / current portion LTD</v>
      </c>
      <c r="C47" s="86" t="n">
        <f aca="false">'T-Accounts'!$O$72</f>
        <v>0</v>
      </c>
      <c r="D47" s="86" t="n">
        <f aca="false">'T-Accounts'!$O$89</f>
        <v>0</v>
      </c>
      <c r="E47" s="87" t="n">
        <f aca="false">D47-C47</f>
        <v>0</v>
      </c>
    </row>
    <row r="48" customFormat="false" ht="15" hidden="false" customHeight="true" outlineLevel="0" collapsed="false">
      <c r="B48" s="22" t="str">
        <f aca="false">"   "&amp;'T-Accounts'!$R$70</f>
        <v>   Payable for machinery</v>
      </c>
      <c r="C48" s="86" t="n">
        <f aca="false">'T-Accounts'!$T$72</f>
        <v>0</v>
      </c>
      <c r="D48" s="86" t="n">
        <f aca="false">'T-Accounts'!$T$89</f>
        <v>0</v>
      </c>
      <c r="E48" s="87" t="n">
        <f aca="false">D48-C48</f>
        <v>0</v>
      </c>
    </row>
    <row r="49" customFormat="false" ht="15" hidden="false" customHeight="true" outlineLevel="0" collapsed="false">
      <c r="B49" s="96" t="s">
        <v>338</v>
      </c>
      <c r="C49" s="98" t="n">
        <f aca="false">C41+C42+C43+C44+C45+C46+C47+C48</f>
        <v>50000</v>
      </c>
      <c r="D49" s="98" t="n">
        <f aca="false">D41+D42+D43+D44+D45+D46+D47+D48</f>
        <v>70000</v>
      </c>
      <c r="E49" s="98" t="n">
        <f aca="false">E41+E42+E43+E44+E45+E46+E47+E48</f>
        <v>20000</v>
      </c>
    </row>
    <row r="50" customFormat="false" ht="15" hidden="false" customHeight="true" outlineLevel="0" collapsed="false">
      <c r="B50" s="96" t="s">
        <v>339</v>
      </c>
      <c r="C50" s="98" t="n">
        <f aca="false">C39+C49</f>
        <v>50000</v>
      </c>
      <c r="D50" s="98" t="n">
        <f aca="false">D39+D49</f>
        <v>70000</v>
      </c>
      <c r="E50" s="98" t="n">
        <f aca="false">E39+E49</f>
        <v>20000</v>
      </c>
    </row>
    <row r="51" customFormat="false" ht="15" hidden="false" customHeight="true" outlineLevel="0" collapsed="false">
      <c r="B51" s="99" t="s">
        <v>340</v>
      </c>
      <c r="C51" s="100" t="n">
        <f aca="false">C35+C50</f>
        <v>660000</v>
      </c>
      <c r="D51" s="100" t="n">
        <f aca="false">D35+D50</f>
        <v>977000</v>
      </c>
      <c r="E51" s="100" t="n">
        <f aca="false">E35+E50</f>
        <v>317000</v>
      </c>
    </row>
    <row r="53" customFormat="false" ht="15" hidden="false" customHeight="true" outlineLevel="0" collapsed="false">
      <c r="B53" s="28" t="s">
        <v>341</v>
      </c>
      <c r="C53" s="10" t="str">
        <f aca="false">IF(ABS(C27-C51)&lt;0.5,"OK","ERROR: "&amp;TEXT(C27-C51,"#,##0"))</f>
        <v>OK</v>
      </c>
      <c r="D53" s="10" t="str">
        <f aca="false">IF(ABS(D27-D51)&lt;0.5,"OK","ERROR: "&amp;TEXT(D27-D51,"#,##0"))</f>
        <v>OK</v>
      </c>
    </row>
    <row r="54" customFormat="false" ht="15" hidden="false" customHeight="true" outlineLevel="0" collapsed="false">
      <c r="B54" s="28" t="s">
        <v>342</v>
      </c>
      <c r="D54" s="10" t="str">
        <f aca="false">'T-Accounts'!$L$157</f>
        <v>OK</v>
      </c>
    </row>
    <row r="56" customFormat="false" ht="15" hidden="false" customHeight="true" outlineLevel="0" collapsed="false">
      <c r="B56" s="28" t="s">
        <v>343</v>
      </c>
      <c r="C56" s="101"/>
      <c r="D56" s="101"/>
      <c r="E56" s="101"/>
    </row>
    <row r="57" customFormat="false" ht="15" hidden="false" customHeight="true" outlineLevel="0" collapsed="false">
      <c r="B57" s="22" t="s">
        <v>344</v>
      </c>
      <c r="C57" s="86" t="n">
        <f aca="false">C13-C49</f>
        <v>193000</v>
      </c>
      <c r="D57" s="86" t="n">
        <f aca="false">D13-D49</f>
        <v>292000</v>
      </c>
    </row>
    <row r="58" customFormat="false" ht="15" hidden="false" customHeight="true" outlineLevel="0" collapsed="false">
      <c r="B58" s="22" t="s">
        <v>345</v>
      </c>
      <c r="C58" s="86" t="n">
        <f aca="false">C27-C50</f>
        <v>610000</v>
      </c>
      <c r="D58" s="86" t="n">
        <f aca="false">D27-D50</f>
        <v>907000</v>
      </c>
    </row>
    <row r="59" customFormat="false" ht="15" hidden="false" customHeight="true" outlineLevel="0" collapsed="false">
      <c r="B59" s="22" t="s">
        <v>346</v>
      </c>
      <c r="C59" s="102" t="n">
        <f aca="false">IF(C35=0,"-",C50/C35)</f>
        <v>0.0819672131147541</v>
      </c>
      <c r="D59" s="102" t="n">
        <f aca="false">IF(D35=0,"-",D50/D35)</f>
        <v>0.0771775082690187</v>
      </c>
    </row>
    <row r="60" customFormat="false" ht="15" hidden="false" customHeight="true" outlineLevel="0" collapsed="false">
      <c r="B60" s="22" t="s">
        <v>347</v>
      </c>
      <c r="C60" s="102" t="n">
        <f aca="false">IF(C49=0,"-",C13/C49)</f>
        <v>4.86</v>
      </c>
      <c r="D60" s="102" t="n">
        <f aca="false">IF(D49=0,"-",D13/D49)</f>
        <v>5.17142857142857</v>
      </c>
    </row>
  </sheetData>
  <mergeCells count="3">
    <mergeCell ref="B1:E1"/>
    <mergeCell ref="B5:E5"/>
    <mergeCell ref="B29:E29"/>
  </mergeCells>
  <conditionalFormatting sqref="C53:D53">
    <cfRule type="expression" priority="2" aboveAverage="0" equalAverage="0" bottom="0" percent="0" rank="0" text="" dxfId="0">
      <formula>C53="OK"</formula>
    </cfRule>
    <cfRule type="expression" priority="3" aboveAverage="0" equalAverage="0" bottom="0" percent="0" rank="0" text="" dxfId="1">
      <formula>LEFT(C53,5)="ERROR"</formula>
    </cfRule>
  </conditionalFormatting>
  <conditionalFormatting sqref="D54">
    <cfRule type="expression" priority="4" aboveAverage="0" equalAverage="0" bottom="0" percent="0" rank="0" text="" dxfId="0">
      <formula>D54="OK"</formula>
    </cfRule>
    <cfRule type="expression" priority="5" aboveAverage="0" equalAverage="0" bottom="0" percent="0" rank="0" text="" dxfId="1">
      <formula>LEFT(D54,5)="ERROR"</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B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2"/>
    <col collapsed="false" customWidth="true" hidden="false" outlineLevel="0" max="3" min="3" style="1" width="16"/>
    <col collapsed="false" customWidth="true" hidden="false" outlineLevel="0" max="4" min="4" style="1" width="12"/>
    <col collapsed="false" customWidth="true" hidden="false" outlineLevel="0" max="5" min="5" style="1" width="3"/>
    <col collapsed="false" customWidth="true" hidden="false" outlineLevel="0" max="6" min="6" style="1" width="78"/>
  </cols>
  <sheetData>
    <row r="1" customFormat="false" ht="17.25" hidden="false" customHeight="true" outlineLevel="0" collapsed="false">
      <c r="B1" s="103" t="s">
        <v>348</v>
      </c>
      <c r="C1" s="103"/>
      <c r="D1" s="103"/>
    </row>
    <row r="2" customFormat="false" ht="15" hidden="false" customHeight="true" outlineLevel="0" collapsed="false">
      <c r="B2" s="81" t="str">
        <f aca="false">Guide!$C$3&amp;" – for the period "&amp;Guide!$C$4&amp;"  (in "&amp;Guide!$C$5&amp;")"</f>
        <v>Maria Soldevila (company) – for the period 2011  (in €)</v>
      </c>
    </row>
    <row r="4" customFormat="false" ht="15" hidden="false" customHeight="true" outlineLevel="0" collapsed="false">
      <c r="C4" s="82" t="s">
        <v>349</v>
      </c>
      <c r="D4" s="82" t="s">
        <v>350</v>
      </c>
      <c r="F4" s="42" t="s">
        <v>179</v>
      </c>
    </row>
    <row r="5" customFormat="false" ht="15" hidden="false" customHeight="true" outlineLevel="0" collapsed="false">
      <c r="B5" s="22" t="s">
        <v>351</v>
      </c>
      <c r="C5" s="50" t="n">
        <v>944000</v>
      </c>
      <c r="D5" s="104" t="n">
        <f aca="false">IF(OR($C$5=0,C5=""),"",C5/$C$5)</f>
        <v>1</v>
      </c>
      <c r="F5" s="47" t="s">
        <v>352</v>
      </c>
    </row>
    <row r="6" customFormat="false" ht="21.75" hidden="false" customHeight="true" outlineLevel="0" collapsed="false">
      <c r="B6" s="22" t="s">
        <v>353</v>
      </c>
      <c r="C6" s="50" t="n">
        <v>-439000</v>
      </c>
      <c r="D6" s="104" t="n">
        <f aca="false">IF(OR($C$5=0,C6=""),"",C6/$C$5)</f>
        <v>-0.465042372881356</v>
      </c>
      <c r="F6" s="51" t="s">
        <v>354</v>
      </c>
    </row>
    <row r="7" customFormat="false" ht="15" hidden="false" customHeight="true" outlineLevel="0" collapsed="false">
      <c r="B7" s="105" t="s">
        <v>355</v>
      </c>
      <c r="C7" s="106" t="n">
        <f aca="false">C5+C6</f>
        <v>505000</v>
      </c>
      <c r="D7" s="107" t="n">
        <f aca="false">IF(OR($C$5=0,C7=""),"",C7/$C$5)</f>
        <v>0.534957627118644</v>
      </c>
      <c r="F7" s="47" t="s">
        <v>356</v>
      </c>
    </row>
    <row r="8" customFormat="false" ht="15" hidden="false" customHeight="true" outlineLevel="0" collapsed="false">
      <c r="B8" s="22" t="s">
        <v>357</v>
      </c>
      <c r="C8" s="50" t="n">
        <v>-150000</v>
      </c>
      <c r="D8" s="104" t="n">
        <f aca="false">IF(OR($C$5=0,C8=""),"",C8/$C$5)</f>
        <v>-0.158898305084746</v>
      </c>
      <c r="F8" s="51" t="s">
        <v>358</v>
      </c>
    </row>
    <row r="9" customFormat="false" ht="15" hidden="false" customHeight="true" outlineLevel="0" collapsed="false">
      <c r="B9" s="22" t="s">
        <v>359</v>
      </c>
      <c r="C9" s="50"/>
      <c r="D9" s="104" t="str">
        <f aca="false">IF(OR($C$5=0,C9=""),"",C9/$C$5)</f>
        <v/>
      </c>
      <c r="F9" s="51" t="s">
        <v>360</v>
      </c>
    </row>
    <row r="10" customFormat="false" ht="15" hidden="false" customHeight="true" outlineLevel="0" collapsed="false">
      <c r="B10" s="22" t="s">
        <v>361</v>
      </c>
      <c r="C10" s="50"/>
      <c r="D10" s="104" t="str">
        <f aca="false">IF(OR($C$5=0,C10=""),"",C10/$C$5)</f>
        <v/>
      </c>
      <c r="F10" s="47" t="s">
        <v>362</v>
      </c>
    </row>
    <row r="11" customFormat="false" ht="15" hidden="false" customHeight="true" outlineLevel="0" collapsed="false">
      <c r="B11" s="22" t="s">
        <v>363</v>
      </c>
      <c r="C11" s="50"/>
      <c r="D11" s="104" t="str">
        <f aca="false">IF(OR($C$5=0,C11=""),"",C11/$C$5)</f>
        <v/>
      </c>
      <c r="F11" s="51" t="s">
        <v>364</v>
      </c>
    </row>
    <row r="12" customFormat="false" ht="15" hidden="false" customHeight="true" outlineLevel="0" collapsed="false">
      <c r="B12" s="22" t="s">
        <v>365</v>
      </c>
      <c r="C12" s="50"/>
      <c r="D12" s="104" t="str">
        <f aca="false">IF(OR($C$5=0,C12=""),"",C12/$C$5)</f>
        <v/>
      </c>
      <c r="F12" s="51" t="s">
        <v>366</v>
      </c>
    </row>
    <row r="13" customFormat="false" ht="21.75" hidden="false" customHeight="true" outlineLevel="0" collapsed="false">
      <c r="B13" s="22" t="s">
        <v>367</v>
      </c>
      <c r="C13" s="50" t="n">
        <v>-11000</v>
      </c>
      <c r="D13" s="104" t="n">
        <f aca="false">IF(OR($C$5=0,C13=""),"",C13/$C$5)</f>
        <v>-0.0116525423728814</v>
      </c>
      <c r="F13" s="51" t="s">
        <v>368</v>
      </c>
    </row>
    <row r="14" customFormat="false" ht="15" hidden="false" customHeight="true" outlineLevel="0" collapsed="false">
      <c r="B14" s="22" t="s">
        <v>369</v>
      </c>
      <c r="C14" s="50" t="n">
        <v>-10000</v>
      </c>
      <c r="D14" s="104" t="n">
        <f aca="false">IF(OR($C$5=0,C14=""),"",C14/$C$5)</f>
        <v>-0.0105932203389831</v>
      </c>
      <c r="F14" s="47" t="s">
        <v>370</v>
      </c>
    </row>
    <row r="15" customFormat="false" ht="15" hidden="false" customHeight="true" outlineLevel="0" collapsed="false">
      <c r="B15" s="22" t="s">
        <v>371</v>
      </c>
      <c r="C15" s="50" t="n">
        <v>-7000</v>
      </c>
      <c r="D15" s="104" t="n">
        <f aca="false">IF(OR($C$5=0,C15=""),"",C15/$C$5)</f>
        <v>-0.00741525423728814</v>
      </c>
      <c r="F15" s="51" t="s">
        <v>372</v>
      </c>
    </row>
    <row r="16" customFormat="false" ht="15" hidden="false" customHeight="true" outlineLevel="0" collapsed="false">
      <c r="B16" s="105" t="s">
        <v>373</v>
      </c>
      <c r="C16" s="106" t="n">
        <f aca="false">C7+C8+C9+C10+C11+C12+C13+C14+C15</f>
        <v>327000</v>
      </c>
      <c r="D16" s="107" t="n">
        <f aca="false">IF(OR($C$5=0,C16=""),"",C16/$C$5)</f>
        <v>0.346398305084746</v>
      </c>
      <c r="F16" s="51" t="s">
        <v>374</v>
      </c>
    </row>
    <row r="17" customFormat="false" ht="15" hidden="false" customHeight="true" outlineLevel="0" collapsed="false">
      <c r="B17" s="22" t="s">
        <v>375</v>
      </c>
      <c r="C17" s="50"/>
      <c r="D17" s="104" t="str">
        <f aca="false">IF(OR($C$5=0,C17=""),"",C17/$C$5)</f>
        <v/>
      </c>
      <c r="F17" s="51" t="s">
        <v>376</v>
      </c>
    </row>
    <row r="18" customFormat="false" ht="15" hidden="false" customHeight="true" outlineLevel="0" collapsed="false">
      <c r="B18" s="22" t="s">
        <v>377</v>
      </c>
      <c r="C18" s="50"/>
      <c r="D18" s="104" t="str">
        <f aca="false">IF(OR($C$5=0,C18=""),"",C18/$C$5)</f>
        <v/>
      </c>
      <c r="F18" s="51" t="s">
        <v>378</v>
      </c>
    </row>
    <row r="19" customFormat="false" ht="15" hidden="false" customHeight="true" outlineLevel="0" collapsed="false">
      <c r="B19" s="105" t="s">
        <v>379</v>
      </c>
      <c r="C19" s="106" t="n">
        <f aca="false">C16+C17+C18</f>
        <v>327000</v>
      </c>
      <c r="D19" s="107" t="n">
        <f aca="false">IF(OR($C$5=0,C19=""),"",C19/$C$5)</f>
        <v>0.346398305084746</v>
      </c>
      <c r="F19" s="51" t="s">
        <v>380</v>
      </c>
    </row>
    <row r="20" customFormat="false" ht="15" hidden="false" customHeight="true" outlineLevel="0" collapsed="false">
      <c r="B20" s="22" t="s">
        <v>381</v>
      </c>
      <c r="C20" s="50"/>
      <c r="D20" s="104" t="str">
        <f aca="false">IF(OR($C$5=0,C20=""),"",C20/$C$5)</f>
        <v/>
      </c>
      <c r="F20" s="51" t="s">
        <v>382</v>
      </c>
    </row>
    <row r="21" customFormat="false" ht="15" hidden="false" customHeight="true" outlineLevel="0" collapsed="false">
      <c r="B21" s="105" t="s">
        <v>383</v>
      </c>
      <c r="C21" s="106" t="n">
        <f aca="false">C19+C20</f>
        <v>327000</v>
      </c>
      <c r="D21" s="107" t="n">
        <f aca="false">IF(OR($C$5=0,C21=""),"",C21/$C$5)</f>
        <v>0.346398305084746</v>
      </c>
      <c r="F21" s="51" t="s">
        <v>384</v>
      </c>
    </row>
    <row r="22" customFormat="false" ht="15" hidden="false" customHeight="true" outlineLevel="0" collapsed="false">
      <c r="B22" s="22" t="s">
        <v>385</v>
      </c>
      <c r="C22" s="50"/>
      <c r="D22" s="104" t="str">
        <f aca="false">IF(OR($C$5=0,C22=""),"",C22/$C$5)</f>
        <v/>
      </c>
      <c r="F22" s="47" t="s">
        <v>386</v>
      </c>
    </row>
    <row r="23" customFormat="false" ht="15" hidden="false" customHeight="true" outlineLevel="0" collapsed="false">
      <c r="B23" s="108" t="s">
        <v>387</v>
      </c>
      <c r="C23" s="109" t="n">
        <f aca="false">C21+C22</f>
        <v>327000</v>
      </c>
      <c r="D23" s="110" t="n">
        <f aca="false">IF(OR($C$5=0,C23=""),"",C23/$C$5)</f>
        <v>0.346398305084746</v>
      </c>
      <c r="F23" s="51" t="s">
        <v>388</v>
      </c>
    </row>
    <row r="24" customFormat="false" ht="15" hidden="false" customHeight="true" outlineLevel="0" collapsed="false">
      <c r="B24" s="22" t="s">
        <v>389</v>
      </c>
      <c r="C24" s="50"/>
      <c r="D24" s="104" t="str">
        <f aca="false">IF(OR($C$5=0,C24=""),"",C24/$C$5)</f>
        <v/>
      </c>
      <c r="F24" s="51" t="s">
        <v>390</v>
      </c>
    </row>
    <row r="25" customFormat="false" ht="15" hidden="false" customHeight="true" outlineLevel="0" collapsed="false">
      <c r="B25" s="105" t="s">
        <v>391</v>
      </c>
      <c r="C25" s="106" t="n">
        <f aca="false">C23+C24</f>
        <v>327000</v>
      </c>
      <c r="D25" s="107" t="n">
        <f aca="false">IF(OR($C$5=0,C25=""),"",C25/$C$5)</f>
        <v>0.346398305084746</v>
      </c>
      <c r="F25" s="47" t="s">
        <v>392</v>
      </c>
    </row>
    <row r="26" customFormat="false" ht="15" hidden="false" customHeight="true" outlineLevel="0" collapsed="false">
      <c r="F26" s="51" t="s">
        <v>393</v>
      </c>
    </row>
    <row r="27" customFormat="false" ht="15" hidden="false" customHeight="true" outlineLevel="0" collapsed="false">
      <c r="B27" s="28" t="s">
        <v>394</v>
      </c>
      <c r="C27" s="101"/>
      <c r="D27" s="101"/>
    </row>
    <row r="28" customFormat="false" ht="15" hidden="false" customHeight="true" outlineLevel="0" collapsed="false">
      <c r="B28" s="22" t="s">
        <v>395</v>
      </c>
      <c r="C28" s="86" t="n">
        <v>51000</v>
      </c>
    </row>
    <row r="29" customFormat="false" ht="15" hidden="false" customHeight="true" outlineLevel="0" collapsed="false">
      <c r="B29" s="22" t="s">
        <v>396</v>
      </c>
      <c r="C29" s="50" t="n">
        <v>-7000</v>
      </c>
    </row>
    <row r="31" customFormat="false" ht="15" hidden="false" customHeight="true" outlineLevel="0" collapsed="false">
      <c r="B31" s="28" t="s">
        <v>397</v>
      </c>
      <c r="C31" s="39" t="n">
        <f aca="false">(SUM('T-Accounts'!$T$135:$T$150)-SUMIF('T-Accounts'!$U$135:$U$150,"CE",'T-Accounts'!$T$135:$T$150))-(SUM('T-Accounts'!$S$135:$S$150)-SUMIF('T-Accounts'!$R$135:$R$150,"CE",'T-Accounts'!$S$135:$S$150))</f>
        <v>327000</v>
      </c>
    </row>
    <row r="32" customFormat="false" ht="15" hidden="false" customHeight="true" outlineLevel="0" collapsed="false">
      <c r="B32" s="28" t="s">
        <v>398</v>
      </c>
      <c r="C32" s="10" t="str">
        <f aca="false">IF(ABS(C23-C31)&lt;0.5,"OK","ERROR: "&amp;TEXT(C23-C31,"#,##0"))</f>
        <v>OK</v>
      </c>
    </row>
  </sheetData>
  <mergeCells count="1">
    <mergeCell ref="B1:D1"/>
  </mergeCells>
  <conditionalFormatting sqref="C32">
    <cfRule type="expression" priority="2" aboveAverage="0" equalAverage="0" bottom="0" percent="0" rank="0" text="" dxfId="0">
      <formula>C32="OK"</formula>
    </cfRule>
    <cfRule type="expression" priority="3" aboveAverage="0" equalAverage="0" bottom="0" percent="0" rank="0" text="" dxfId="1">
      <formula>LEFT(C32,5)="ERROR"</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true"/>
  </sheetPr>
  <dimension ref="B1:F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6"/>
    <col collapsed="false" customWidth="true" hidden="false" outlineLevel="0" max="3" min="3" style="1" width="16"/>
    <col collapsed="false" customWidth="true" hidden="false" outlineLevel="0" max="4" min="4" style="1" width="12"/>
    <col collapsed="false" customWidth="true" hidden="false" outlineLevel="0" max="5" min="5" style="1" width="3"/>
    <col collapsed="false" customWidth="true" hidden="false" outlineLevel="0" max="6" min="6" style="1" width="78"/>
  </cols>
  <sheetData>
    <row r="1" customFormat="false" ht="17.25" hidden="false" customHeight="true" outlineLevel="0" collapsed="false">
      <c r="B1" s="111" t="s">
        <v>399</v>
      </c>
      <c r="C1" s="111"/>
    </row>
    <row r="2" customFormat="false" ht="15" hidden="false" customHeight="true" outlineLevel="0" collapsed="false">
      <c r="B2" s="81" t="str">
        <f aca="false">Guide!$C$3&amp;" – for the period "&amp;Guide!$C$4&amp;"  (in "&amp;Guide!$C$5&amp;")"</f>
        <v>Maria Soldevila (company) – for the period 2011  (in €)</v>
      </c>
    </row>
    <row r="4" customFormat="false" ht="15" hidden="false" customHeight="true" outlineLevel="0" collapsed="false">
      <c r="B4" s="112" t="s">
        <v>400</v>
      </c>
      <c r="C4" s="112"/>
      <c r="F4" s="42" t="s">
        <v>179</v>
      </c>
    </row>
    <row r="5" customFormat="false" ht="15" hidden="false" customHeight="true" outlineLevel="0" collapsed="false">
      <c r="B5" s="25" t="s">
        <v>401</v>
      </c>
      <c r="C5" s="113"/>
      <c r="F5" s="47" t="s">
        <v>402</v>
      </c>
    </row>
    <row r="6" customFormat="false" ht="15" hidden="false" customHeight="true" outlineLevel="0" collapsed="false">
      <c r="B6" s="22" t="s">
        <v>403</v>
      </c>
      <c r="C6" s="50" t="n">
        <v>850000</v>
      </c>
      <c r="F6" s="51" t="s">
        <v>404</v>
      </c>
    </row>
    <row r="7" customFormat="false" ht="15" hidden="false" customHeight="true" outlineLevel="0" collapsed="false">
      <c r="B7" s="22" t="s">
        <v>405</v>
      </c>
      <c r="C7" s="50"/>
      <c r="F7" s="47" t="s">
        <v>406</v>
      </c>
    </row>
    <row r="8" customFormat="false" ht="15" hidden="false" customHeight="true" outlineLevel="0" collapsed="false">
      <c r="B8" s="22" t="s">
        <v>407</v>
      </c>
      <c r="C8" s="50" t="n">
        <v>-250000</v>
      </c>
      <c r="F8" s="51" t="s">
        <v>408</v>
      </c>
    </row>
    <row r="9" customFormat="false" ht="15" hidden="false" customHeight="true" outlineLevel="0" collapsed="false">
      <c r="B9" s="22" t="s">
        <v>409</v>
      </c>
      <c r="C9" s="50" t="n">
        <v>-180000</v>
      </c>
      <c r="F9" s="51" t="s">
        <v>410</v>
      </c>
    </row>
    <row r="10" customFormat="false" ht="15" hidden="false" customHeight="true" outlineLevel="0" collapsed="false">
      <c r="B10" s="22" t="s">
        <v>411</v>
      </c>
      <c r="C10" s="50"/>
      <c r="F10" s="47" t="s">
        <v>412</v>
      </c>
    </row>
    <row r="11" customFormat="false" ht="15" hidden="false" customHeight="true" outlineLevel="0" collapsed="false">
      <c r="B11" s="22" t="s">
        <v>413</v>
      </c>
      <c r="C11" s="50" t="n">
        <v>-132000</v>
      </c>
      <c r="F11" s="51" t="s">
        <v>414</v>
      </c>
    </row>
    <row r="12" customFormat="false" ht="15" hidden="false" customHeight="true" outlineLevel="0" collapsed="false">
      <c r="B12" s="22" t="s">
        <v>415</v>
      </c>
      <c r="C12" s="50"/>
      <c r="F12" s="51" t="s">
        <v>416</v>
      </c>
    </row>
    <row r="13" customFormat="false" ht="15" hidden="false" customHeight="true" outlineLevel="0" collapsed="false">
      <c r="B13" s="22" t="s">
        <v>417</v>
      </c>
      <c r="C13" s="50"/>
      <c r="F13" s="51" t="s">
        <v>418</v>
      </c>
    </row>
    <row r="14" customFormat="false" ht="15" hidden="false" customHeight="true" outlineLevel="0" collapsed="false">
      <c r="B14" s="25" t="s">
        <v>419</v>
      </c>
      <c r="C14" s="114" t="n">
        <f aca="false">C6+C7+C8+C9+C10+C11+C12+C13</f>
        <v>288000</v>
      </c>
      <c r="F14" s="51" t="s">
        <v>420</v>
      </c>
    </row>
    <row r="15" customFormat="false" ht="15" hidden="false" customHeight="true" outlineLevel="0" collapsed="false">
      <c r="F15" s="51" t="s">
        <v>421</v>
      </c>
    </row>
    <row r="16" customFormat="false" ht="15" hidden="false" customHeight="true" outlineLevel="0" collapsed="false">
      <c r="B16" s="26" t="s">
        <v>422</v>
      </c>
      <c r="C16" s="115"/>
      <c r="F16" s="51" t="s">
        <v>423</v>
      </c>
    </row>
    <row r="17" customFormat="false" ht="15" hidden="false" customHeight="true" outlineLevel="0" collapsed="false">
      <c r="B17" s="22" t="s">
        <v>424</v>
      </c>
      <c r="C17" s="50" t="n">
        <v>-240000</v>
      </c>
      <c r="F17" s="51" t="s">
        <v>425</v>
      </c>
    </row>
    <row r="18" customFormat="false" ht="15" hidden="false" customHeight="true" outlineLevel="0" collapsed="false">
      <c r="B18" s="22" t="s">
        <v>426</v>
      </c>
      <c r="C18" s="50" t="n">
        <v>-25000</v>
      </c>
      <c r="F18" s="47" t="s">
        <v>427</v>
      </c>
    </row>
    <row r="19" customFormat="false" ht="15" hidden="false" customHeight="true" outlineLevel="0" collapsed="false">
      <c r="B19" s="22" t="s">
        <v>428</v>
      </c>
      <c r="C19" s="50"/>
      <c r="F19" s="51" t="s">
        <v>429</v>
      </c>
    </row>
    <row r="20" customFormat="false" ht="15" hidden="false" customHeight="true" outlineLevel="0" collapsed="false">
      <c r="B20" s="22" t="s">
        <v>430</v>
      </c>
      <c r="C20" s="50"/>
      <c r="F20" s="51" t="s">
        <v>431</v>
      </c>
    </row>
    <row r="21" customFormat="false" ht="15" hidden="false" customHeight="true" outlineLevel="0" collapsed="false">
      <c r="B21" s="22" t="s">
        <v>432</v>
      </c>
      <c r="C21" s="50" t="n">
        <v>9000</v>
      </c>
      <c r="F21" s="51" t="s">
        <v>433</v>
      </c>
    </row>
    <row r="22" customFormat="false" ht="15" hidden="false" customHeight="true" outlineLevel="0" collapsed="false">
      <c r="B22" s="22" t="s">
        <v>434</v>
      </c>
      <c r="C22" s="50"/>
      <c r="F22" s="47" t="s">
        <v>292</v>
      </c>
    </row>
    <row r="23" customFormat="false" ht="15" hidden="false" customHeight="true" outlineLevel="0" collapsed="false">
      <c r="B23" s="26" t="s">
        <v>435</v>
      </c>
      <c r="C23" s="116" t="n">
        <f aca="false">C17+C18+C19+C20+C21+C22</f>
        <v>-256000</v>
      </c>
      <c r="F23" s="51" t="s">
        <v>436</v>
      </c>
    </row>
    <row r="24" customFormat="false" ht="15" hidden="false" customHeight="true" outlineLevel="0" collapsed="false">
      <c r="F24" s="51" t="s">
        <v>437</v>
      </c>
    </row>
    <row r="25" customFormat="false" ht="15" hidden="false" customHeight="true" outlineLevel="0" collapsed="false">
      <c r="B25" s="27" t="s">
        <v>438</v>
      </c>
      <c r="C25" s="117"/>
    </row>
    <row r="26" customFormat="false" ht="15" hidden="false" customHeight="true" outlineLevel="0" collapsed="false">
      <c r="B26" s="22" t="s">
        <v>439</v>
      </c>
      <c r="C26" s="50"/>
    </row>
    <row r="27" customFormat="false" ht="15" hidden="false" customHeight="true" outlineLevel="0" collapsed="false">
      <c r="B27" s="22" t="s">
        <v>440</v>
      </c>
      <c r="C27" s="50"/>
    </row>
    <row r="28" customFormat="false" ht="15" hidden="false" customHeight="true" outlineLevel="0" collapsed="false">
      <c r="B28" s="22" t="s">
        <v>441</v>
      </c>
      <c r="C28" s="50"/>
    </row>
    <row r="29" customFormat="false" ht="15" hidden="false" customHeight="true" outlineLevel="0" collapsed="false">
      <c r="B29" s="22" t="s">
        <v>442</v>
      </c>
      <c r="C29" s="50" t="n">
        <v>-30000</v>
      </c>
    </row>
    <row r="30" customFormat="false" ht="15" hidden="false" customHeight="true" outlineLevel="0" collapsed="false">
      <c r="B30" s="27" t="s">
        <v>443</v>
      </c>
      <c r="C30" s="118" t="n">
        <f aca="false">C26+C27+C28+C29</f>
        <v>-30000</v>
      </c>
    </row>
    <row r="32" customFormat="false" ht="15" hidden="false" customHeight="true" outlineLevel="0" collapsed="false">
      <c r="B32" s="119" t="s">
        <v>444</v>
      </c>
      <c r="C32" s="120" t="n">
        <f aca="false">C14+C23+C30</f>
        <v>2000</v>
      </c>
    </row>
    <row r="33" customFormat="false" ht="15" hidden="false" customHeight="true" outlineLevel="0" collapsed="false">
      <c r="B33" s="22" t="s">
        <v>445</v>
      </c>
      <c r="C33" s="86" t="n">
        <f aca="false">'Balance Sheet'!C7</f>
        <v>101000</v>
      </c>
    </row>
    <row r="34" customFormat="false" ht="15" hidden="false" customHeight="true" outlineLevel="0" collapsed="false">
      <c r="B34" s="22" t="s">
        <v>446</v>
      </c>
      <c r="C34" s="86" t="n">
        <f aca="false">C32</f>
        <v>2000</v>
      </c>
    </row>
    <row r="35" customFormat="false" ht="15" hidden="false" customHeight="true" outlineLevel="0" collapsed="false">
      <c r="B35" s="3" t="s">
        <v>447</v>
      </c>
      <c r="C35" s="121" t="n">
        <f aca="false">C33+C32</f>
        <v>103000</v>
      </c>
    </row>
    <row r="36" customFormat="false" ht="15" hidden="false" customHeight="true" outlineLevel="0" collapsed="false">
      <c r="B36" s="28" t="s">
        <v>448</v>
      </c>
      <c r="C36" s="10" t="str">
        <f aca="false">IF(ABS(C35-'Balance Sheet'!D7)&lt;0.5,"OK","ERROR: "&amp;TEXT(C35-'Balance Sheet'!D7,"#,##0"))</f>
        <v>OK</v>
      </c>
    </row>
    <row r="37" customFormat="false" ht="15" hidden="false" customHeight="true" outlineLevel="0" collapsed="false">
      <c r="B37" s="22" t="s">
        <v>449</v>
      </c>
      <c r="C37" s="86" t="n">
        <f aca="false">C14+C23</f>
        <v>32000</v>
      </c>
    </row>
    <row r="39" customFormat="false" ht="15" hidden="false" customHeight="true" outlineLevel="0" collapsed="false">
      <c r="B39" s="112" t="s">
        <v>450</v>
      </c>
      <c r="C39" s="112"/>
    </row>
    <row r="40" customFormat="false" ht="15" hidden="false" customHeight="true" outlineLevel="0" collapsed="false">
      <c r="B40" s="25" t="s">
        <v>401</v>
      </c>
      <c r="C40" s="113"/>
    </row>
    <row r="41" customFormat="false" ht="15" hidden="false" customHeight="true" outlineLevel="0" collapsed="false">
      <c r="B41" s="22" t="s">
        <v>451</v>
      </c>
      <c r="C41" s="86" t="n">
        <f aca="false">'Income Statement'!C23</f>
        <v>327000</v>
      </c>
    </row>
    <row r="42" customFormat="false" ht="15" hidden="false" customHeight="true" outlineLevel="0" collapsed="false">
      <c r="B42" s="22" t="s">
        <v>452</v>
      </c>
      <c r="C42" s="86" t="n">
        <f aca="false">'Income Statement'!C28</f>
        <v>51000</v>
      </c>
    </row>
    <row r="43" customFormat="false" ht="15" hidden="false" customHeight="true" outlineLevel="0" collapsed="false">
      <c r="B43" s="22" t="s">
        <v>453</v>
      </c>
      <c r="C43" s="86" t="n">
        <f aca="false">-'Income Statement'!C29</f>
        <v>7000</v>
      </c>
    </row>
    <row r="44" customFormat="false" ht="15" hidden="false" customHeight="true" outlineLevel="0" collapsed="false">
      <c r="B44" s="22" t="s">
        <v>454</v>
      </c>
      <c r="C44" s="86" t="n">
        <f aca="false">-'Balance Sheet'!E9</f>
        <v>-84000</v>
      </c>
    </row>
    <row r="45" customFormat="false" ht="15" hidden="false" customHeight="true" outlineLevel="0" collapsed="false">
      <c r="B45" s="22" t="s">
        <v>455</v>
      </c>
      <c r="C45" s="86" t="n">
        <f aca="false">-'Balance Sheet'!E10</f>
        <v>-5000</v>
      </c>
    </row>
    <row r="46" customFormat="false" ht="15" hidden="false" customHeight="true" outlineLevel="0" collapsed="false">
      <c r="B46" s="22" t="s">
        <v>456</v>
      </c>
      <c r="C46" s="86" t="n">
        <f aca="false">-'Balance Sheet'!E11</f>
        <v>-28000</v>
      </c>
    </row>
    <row r="47" customFormat="false" ht="15" hidden="false" customHeight="true" outlineLevel="0" collapsed="false">
      <c r="B47" s="22" t="s">
        <v>457</v>
      </c>
      <c r="C47" s="86" t="n">
        <f aca="false">-'Balance Sheet'!E12</f>
        <v>-0</v>
      </c>
    </row>
    <row r="48" customFormat="false" ht="15" hidden="false" customHeight="true" outlineLevel="0" collapsed="false">
      <c r="B48" s="22" t="s">
        <v>458</v>
      </c>
      <c r="C48" s="86" t="n">
        <f aca="false">'Balance Sheet'!E41</f>
        <v>20000</v>
      </c>
    </row>
    <row r="49" customFormat="false" ht="15" hidden="false" customHeight="true" outlineLevel="0" collapsed="false">
      <c r="B49" s="22" t="s">
        <v>459</v>
      </c>
      <c r="C49" s="86" t="n">
        <f aca="false">'Balance Sheet'!E42</f>
        <v>0</v>
      </c>
    </row>
    <row r="50" customFormat="false" ht="15" hidden="false" customHeight="true" outlineLevel="0" collapsed="false">
      <c r="B50" s="22" t="s">
        <v>460</v>
      </c>
      <c r="C50" s="86" t="n">
        <f aca="false">'Balance Sheet'!E43</f>
        <v>0</v>
      </c>
    </row>
    <row r="51" customFormat="false" ht="15" hidden="false" customHeight="true" outlineLevel="0" collapsed="false">
      <c r="B51" s="22" t="s">
        <v>461</v>
      </c>
      <c r="C51" s="86" t="n">
        <f aca="false">'Balance Sheet'!E44</f>
        <v>0</v>
      </c>
    </row>
    <row r="52" customFormat="false" ht="15" hidden="false" customHeight="true" outlineLevel="0" collapsed="false">
      <c r="B52" s="22" t="s">
        <v>462</v>
      </c>
      <c r="C52" s="86" t="n">
        <f aca="false">'Balance Sheet'!E45</f>
        <v>0</v>
      </c>
    </row>
    <row r="53" customFormat="false" ht="15" hidden="false" customHeight="true" outlineLevel="0" collapsed="false">
      <c r="B53" s="25" t="s">
        <v>463</v>
      </c>
      <c r="C53" s="114" t="n">
        <f aca="false">C41+C42+C43+C44+C45+C46+C47+C48+C49+C50+C51+C52</f>
        <v>288000</v>
      </c>
    </row>
    <row r="54" customFormat="false" ht="15" hidden="false" customHeight="true" outlineLevel="0" collapsed="false">
      <c r="B54" s="28" t="s">
        <v>464</v>
      </c>
      <c r="C54" s="10" t="str">
        <f aca="false">IF(ABS(C53-C14)&lt;0.5,"OK","ERROR: "&amp;TEXT(C53-C14,"#,##0"))</f>
        <v>OK</v>
      </c>
    </row>
    <row r="55" customFormat="false" ht="15" hidden="false" customHeight="true" outlineLevel="0" collapsed="false">
      <c r="B55" s="28" t="s">
        <v>465</v>
      </c>
      <c r="C55" s="10" t="str">
        <f aca="false">IF(ABS(C53+C23+C30-'Balance Sheet'!E7)&lt;0.5,"OK","ERROR: "&amp;TEXT(C53+C23+C30-'Balance Sheet'!E7,"#,##0"))</f>
        <v>OK</v>
      </c>
    </row>
  </sheetData>
  <mergeCells count="3">
    <mergeCell ref="B1:C1"/>
    <mergeCell ref="B4:C4"/>
    <mergeCell ref="B39:C39"/>
  </mergeCells>
  <conditionalFormatting sqref="C36">
    <cfRule type="expression" priority="2" aboveAverage="0" equalAverage="0" bottom="0" percent="0" rank="0" text="" dxfId="0">
      <formula>C36="OK"</formula>
    </cfRule>
    <cfRule type="expression" priority="3" aboveAverage="0" equalAverage="0" bottom="0" percent="0" rank="0" text="" dxfId="1">
      <formula>LEFT(C36,5)="ERROR"</formula>
    </cfRule>
  </conditionalFormatting>
  <conditionalFormatting sqref="C54">
    <cfRule type="expression" priority="4" aboveAverage="0" equalAverage="0" bottom="0" percent="0" rank="0" text="" dxfId="0">
      <formula>C54="OK"</formula>
    </cfRule>
    <cfRule type="expression" priority="5" aboveAverage="0" equalAverage="0" bottom="0" percent="0" rank="0" text="" dxfId="1">
      <formula>LEFT(C54,5)="ERROR"</formula>
    </cfRule>
  </conditionalFormatting>
  <conditionalFormatting sqref="C55">
    <cfRule type="expression" priority="6" aboveAverage="0" equalAverage="0" bottom="0" percent="0" rank="0" text="" dxfId="0">
      <formula>C55="OK"</formula>
    </cfRule>
    <cfRule type="expression" priority="7" aboveAverage="0" equalAverage="0" bottom="0" percent="0" rank="0" text="" dxfId="1">
      <formula>LEFT(C55,5)="ERROR"</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B47BC"/>
    <pageSetUpPr fitToPage="true"/>
  </sheetPr>
  <dimension ref="B1: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3" min="3" style="1" width="14"/>
    <col collapsed="false" customWidth="true" hidden="false" outlineLevel="0" max="7" min="4" style="1" width="13"/>
    <col collapsed="false" customWidth="true" hidden="false" outlineLevel="0" max="8" min="8" style="1" width="40"/>
    <col collapsed="false" customWidth="true" hidden="false" outlineLevel="0" max="9" min="9" style="1" width="3"/>
    <col collapsed="false" customWidth="true" hidden="false" outlineLevel="0" max="10" min="10" style="1" width="78"/>
    <col collapsed="false" customWidth="true" hidden="false" outlineLevel="0" max="11" min="11" style="1" width="2"/>
  </cols>
  <sheetData>
    <row r="1" customFormat="false" ht="15.75" hidden="false" customHeight="true" outlineLevel="0" collapsed="false">
      <c r="B1" s="122" t="s">
        <v>466</v>
      </c>
      <c r="C1" s="122"/>
      <c r="D1" s="122"/>
      <c r="E1" s="122"/>
      <c r="F1" s="122"/>
      <c r="G1" s="122"/>
      <c r="H1" s="122"/>
    </row>
    <row r="2" customFormat="false" ht="15" hidden="false" customHeight="true" outlineLevel="0" collapsed="false">
      <c r="B2" s="81" t="str">
        <f aca="false">Guide!$C$3&amp;" – "&amp;Guide!$C$4</f>
        <v>Maria Soldevila (company) – 2011</v>
      </c>
    </row>
    <row r="4" customFormat="false" ht="30" hidden="false" customHeight="true" outlineLevel="0" collapsed="false">
      <c r="B4" s="123" t="s">
        <v>467</v>
      </c>
      <c r="C4" s="123" t="s">
        <v>468</v>
      </c>
      <c r="D4" s="124" t="s">
        <v>469</v>
      </c>
      <c r="E4" s="125" t="s">
        <v>470</v>
      </c>
      <c r="F4" s="126" t="s">
        <v>471</v>
      </c>
      <c r="G4" s="123" t="s">
        <v>472</v>
      </c>
      <c r="H4" s="123" t="s">
        <v>473</v>
      </c>
      <c r="J4" s="42" t="s">
        <v>179</v>
      </c>
    </row>
    <row r="5" customFormat="false" ht="15" hidden="false" customHeight="true" outlineLevel="0" collapsed="false">
      <c r="B5" s="127" t="s">
        <v>474</v>
      </c>
      <c r="C5" s="127"/>
      <c r="D5" s="127"/>
      <c r="E5" s="127"/>
      <c r="F5" s="127"/>
      <c r="G5" s="127"/>
      <c r="H5" s="127"/>
      <c r="J5" s="47" t="s">
        <v>475</v>
      </c>
    </row>
    <row r="6" customFormat="false" ht="21.75" hidden="false" customHeight="true" outlineLevel="0" collapsed="false">
      <c r="B6" s="22" t="str">
        <f aca="false">"−Δ "&amp;'T-Accounts'!$G$7</f>
        <v>−Δ Marketable securities</v>
      </c>
      <c r="C6" s="86" t="n">
        <f aca="false">-'Balance Sheet'!E8</f>
        <v>-0</v>
      </c>
      <c r="D6" s="50"/>
      <c r="E6" s="50"/>
      <c r="F6" s="50"/>
      <c r="G6" s="86" t="n">
        <f aca="false">C6-SUM(D6:F6)</f>
        <v>-0</v>
      </c>
      <c r="H6" s="128"/>
      <c r="J6" s="51" t="s">
        <v>476</v>
      </c>
    </row>
    <row r="7" customFormat="false" ht="15" hidden="false" customHeight="true" outlineLevel="0" collapsed="false">
      <c r="B7" s="22" t="str">
        <f aca="false">"−Δ "&amp;'T-Accounts'!$B$28</f>
        <v>−Δ Accounts receivable</v>
      </c>
      <c r="C7" s="86" t="n">
        <f aca="false">-'Balance Sheet'!E9</f>
        <v>-84000</v>
      </c>
      <c r="D7" s="50" t="n">
        <v>-84000</v>
      </c>
      <c r="E7" s="50"/>
      <c r="F7" s="50"/>
      <c r="G7" s="86" t="n">
        <f aca="false">C7-SUM(D7:F7)</f>
        <v>0</v>
      </c>
      <c r="H7" s="128" t="s">
        <v>477</v>
      </c>
      <c r="J7" s="51" t="s">
        <v>478</v>
      </c>
    </row>
    <row r="8" customFormat="false" ht="15" hidden="false" customHeight="true" outlineLevel="0" collapsed="false">
      <c r="B8" s="22" t="str">
        <f aca="false">"−Δ "&amp;'T-Accounts'!$G$28</f>
        <v>−Δ Finished goods inventory</v>
      </c>
      <c r="C8" s="86" t="n">
        <f aca="false">-'Balance Sheet'!E10</f>
        <v>-5000</v>
      </c>
      <c r="D8" s="50" t="n">
        <v>-5000</v>
      </c>
      <c r="E8" s="50"/>
      <c r="F8" s="50"/>
      <c r="G8" s="86" t="n">
        <f aca="false">C8-SUM(D8:F8)</f>
        <v>0</v>
      </c>
      <c r="H8" s="128" t="s">
        <v>479</v>
      </c>
      <c r="J8" s="47" t="s">
        <v>480</v>
      </c>
    </row>
    <row r="9" customFormat="false" ht="15" hidden="false" customHeight="true" outlineLevel="0" collapsed="false">
      <c r="B9" s="22" t="str">
        <f aca="false">"−Δ "&amp;'T-Accounts'!$B$49</f>
        <v>−Δ Raw materials inventory</v>
      </c>
      <c r="C9" s="86" t="n">
        <f aca="false">-'Balance Sheet'!E11</f>
        <v>-28000</v>
      </c>
      <c r="D9" s="50" t="n">
        <v>-28000</v>
      </c>
      <c r="E9" s="50"/>
      <c r="F9" s="50"/>
      <c r="G9" s="86" t="n">
        <f aca="false">C9-SUM(D9:F9)</f>
        <v>0</v>
      </c>
      <c r="H9" s="128" t="s">
        <v>481</v>
      </c>
      <c r="J9" s="51" t="s">
        <v>482</v>
      </c>
    </row>
    <row r="10" customFormat="false" ht="15" hidden="false" customHeight="true" outlineLevel="0" collapsed="false">
      <c r="B10" s="22" t="str">
        <f aca="false">"−Δ "&amp;'T-Accounts'!$G$49</f>
        <v>−Δ Work in progress (WIP)</v>
      </c>
      <c r="C10" s="86" t="n">
        <f aca="false">-'Balance Sheet'!E12</f>
        <v>-0</v>
      </c>
      <c r="D10" s="50" t="n">
        <v>0</v>
      </c>
      <c r="E10" s="50"/>
      <c r="F10" s="50"/>
      <c r="G10" s="86" t="n">
        <f aca="false">C10-SUM(D10:F10)</f>
        <v>-0</v>
      </c>
      <c r="H10" s="128" t="s">
        <v>483</v>
      </c>
      <c r="J10" s="51" t="s">
        <v>484</v>
      </c>
    </row>
    <row r="11" customFormat="false" ht="15" hidden="false" customHeight="true" outlineLevel="0" collapsed="false">
      <c r="B11" s="22" t="str">
        <f aca="false">"−Δ "&amp;'T-Accounts'!$B$70</f>
        <v>−Δ Land</v>
      </c>
      <c r="C11" s="86" t="n">
        <f aca="false">-'Balance Sheet'!E15</f>
        <v>-0</v>
      </c>
      <c r="D11" s="50"/>
      <c r="E11" s="50"/>
      <c r="F11" s="50"/>
      <c r="G11" s="86" t="n">
        <f aca="false">C11-SUM(D11:F11)</f>
        <v>-0</v>
      </c>
      <c r="H11" s="128"/>
      <c r="J11" s="51" t="s">
        <v>485</v>
      </c>
    </row>
    <row r="12" customFormat="false" ht="15" hidden="false" customHeight="true" outlineLevel="0" collapsed="false">
      <c r="B12" s="22" t="str">
        <f aca="false">"−Δ "&amp;'T-Accounts'!$B$91</f>
        <v>−Δ Buildings</v>
      </c>
      <c r="C12" s="86" t="n">
        <f aca="false">-'Balance Sheet'!E16</f>
        <v>-0</v>
      </c>
      <c r="D12" s="50"/>
      <c r="E12" s="50"/>
      <c r="F12" s="50"/>
      <c r="G12" s="86" t="n">
        <f aca="false">C12-SUM(D12:F12)</f>
        <v>-0</v>
      </c>
      <c r="H12" s="128"/>
      <c r="J12" s="51" t="s">
        <v>486</v>
      </c>
    </row>
    <row r="13" customFormat="false" ht="15" hidden="false" customHeight="true" outlineLevel="0" collapsed="false">
      <c r="B13" s="22" t="str">
        <f aca="false">"−Δ "&amp;'T-Accounts'!$B$112</f>
        <v>−Δ Furniture &amp; equipment</v>
      </c>
      <c r="C13" s="86" t="n">
        <f aca="false">-'Balance Sheet'!E19</f>
        <v>-5000</v>
      </c>
      <c r="D13" s="50" t="n">
        <f aca="false">7000+4000</f>
        <v>11000</v>
      </c>
      <c r="E13" s="50" t="n">
        <f aca="false">-25000+9000</f>
        <v>-16000</v>
      </c>
      <c r="F13" s="50"/>
      <c r="G13" s="86" t="n">
        <f aca="false">C13-SUM(D13:F13)</f>
        <v>0</v>
      </c>
      <c r="H13" s="128" t="s">
        <v>487</v>
      </c>
      <c r="J13" s="47" t="s">
        <v>488</v>
      </c>
    </row>
    <row r="14" customFormat="false" ht="15" hidden="false" customHeight="true" outlineLevel="0" collapsed="false">
      <c r="B14" s="22" t="str">
        <f aca="false">"−Δ "&amp;'T-Accounts'!$B$133</f>
        <v>−Δ Machinery</v>
      </c>
      <c r="C14" s="86" t="n">
        <f aca="false">-'Balance Sheet'!E22</f>
        <v>-240000</v>
      </c>
      <c r="D14" s="50"/>
      <c r="E14" s="50" t="n">
        <v>-240000</v>
      </c>
      <c r="F14" s="50"/>
      <c r="G14" s="86" t="n">
        <f aca="false">C14-SUM(D14:F14)</f>
        <v>0</v>
      </c>
      <c r="H14" s="128" t="s">
        <v>489</v>
      </c>
      <c r="J14" s="51" t="s">
        <v>490</v>
      </c>
    </row>
    <row r="15" customFormat="false" ht="15" hidden="false" customHeight="true" outlineLevel="0" collapsed="false">
      <c r="B15" s="22" t="str">
        <f aca="false">"−Δ "&amp;'T-Accounts'!$G$70</f>
        <v>−Δ Website (net of amortization)</v>
      </c>
      <c r="C15" s="86" t="n">
        <f aca="false">-'Balance Sheet'!E25</f>
        <v>6000</v>
      </c>
      <c r="D15" s="50" t="n">
        <v>6000</v>
      </c>
      <c r="E15" s="50"/>
      <c r="F15" s="50"/>
      <c r="G15" s="86" t="n">
        <f aca="false">C15-SUM(D15:F15)</f>
        <v>0</v>
      </c>
      <c r="H15" s="128" t="s">
        <v>491</v>
      </c>
      <c r="J15" s="51" t="s">
        <v>492</v>
      </c>
    </row>
    <row r="16" customFormat="false" ht="15" hidden="false" customHeight="true" outlineLevel="0" collapsed="false">
      <c r="B16" s="127" t="s">
        <v>493</v>
      </c>
      <c r="C16" s="127"/>
      <c r="D16" s="127"/>
      <c r="E16" s="127"/>
      <c r="F16" s="127"/>
      <c r="G16" s="127"/>
      <c r="H16" s="127"/>
      <c r="J16" s="51" t="s">
        <v>494</v>
      </c>
    </row>
    <row r="17" customFormat="false" ht="15" hidden="false" customHeight="true" outlineLevel="0" collapsed="false">
      <c r="B17" s="22" t="str">
        <f aca="false">"+Δ "&amp;'T-Accounts'!$G$91</f>
        <v>+Δ Accum. depreciation – Buildings</v>
      </c>
      <c r="C17" s="86" t="n">
        <f aca="false">-'Balance Sheet'!E17</f>
        <v>5000</v>
      </c>
      <c r="D17" s="50" t="n">
        <v>5000</v>
      </c>
      <c r="E17" s="50"/>
      <c r="F17" s="50"/>
      <c r="G17" s="86" t="n">
        <f aca="false">C17-SUM(D17:F17)</f>
        <v>0</v>
      </c>
      <c r="H17" s="128" t="s">
        <v>495</v>
      </c>
      <c r="J17" s="47" t="s">
        <v>496</v>
      </c>
    </row>
    <row r="18" customFormat="false" ht="15" hidden="false" customHeight="true" outlineLevel="0" collapsed="false">
      <c r="B18" s="22" t="str">
        <f aca="false">"+Δ "&amp;'T-Accounts'!$G$112</f>
        <v>+Δ Accum. depreciation – Furn. &amp; equip.</v>
      </c>
      <c r="C18" s="86" t="n">
        <f aca="false">-'Balance Sheet'!E20</f>
        <v>-4000</v>
      </c>
      <c r="D18" s="50" t="n">
        <v>-4000</v>
      </c>
      <c r="E18" s="50"/>
      <c r="F18" s="50"/>
      <c r="G18" s="86" t="n">
        <f aca="false">C18-SUM(D18:F18)</f>
        <v>0</v>
      </c>
      <c r="H18" s="128" t="s">
        <v>497</v>
      </c>
      <c r="J18" s="51" t="s">
        <v>498</v>
      </c>
    </row>
    <row r="19" customFormat="false" ht="21.75" hidden="false" customHeight="true" outlineLevel="0" collapsed="false">
      <c r="B19" s="22" t="str">
        <f aca="false">"+Δ "&amp;'T-Accounts'!$G$133</f>
        <v>+Δ Accum. depreciation – Machinery</v>
      </c>
      <c r="C19" s="86" t="n">
        <f aca="false">-'Balance Sheet'!E23</f>
        <v>40000</v>
      </c>
      <c r="D19" s="50" t="n">
        <v>40000</v>
      </c>
      <c r="E19" s="50"/>
      <c r="F19" s="50"/>
      <c r="G19" s="86" t="n">
        <f aca="false">C19-SUM(D19:F19)</f>
        <v>0</v>
      </c>
      <c r="H19" s="128" t="s">
        <v>499</v>
      </c>
      <c r="J19" s="51" t="s">
        <v>500</v>
      </c>
    </row>
    <row r="20" customFormat="false" ht="15" hidden="false" customHeight="true" outlineLevel="0" collapsed="false">
      <c r="B20" s="129" t="s">
        <v>51</v>
      </c>
      <c r="C20" s="129"/>
      <c r="D20" s="129"/>
      <c r="E20" s="129"/>
      <c r="F20" s="129"/>
      <c r="G20" s="129"/>
      <c r="H20" s="129"/>
    </row>
    <row r="21" customFormat="false" ht="15" hidden="false" customHeight="true" outlineLevel="0" collapsed="false">
      <c r="B21" s="22" t="str">
        <f aca="false">"+Δ "&amp;'T-Accounts'!$M$7</f>
        <v>+Δ Accounts payable</v>
      </c>
      <c r="C21" s="86" t="n">
        <f aca="false">'Balance Sheet'!E41</f>
        <v>20000</v>
      </c>
      <c r="D21" s="50" t="n">
        <v>20000</v>
      </c>
      <c r="E21" s="50"/>
      <c r="F21" s="50"/>
      <c r="G21" s="86" t="n">
        <f aca="false">C21-SUM(D21:F21)</f>
        <v>0</v>
      </c>
      <c r="H21" s="128" t="s">
        <v>501</v>
      </c>
    </row>
    <row r="22" customFormat="false" ht="15" hidden="false" customHeight="true" outlineLevel="0" collapsed="false">
      <c r="B22" s="22" t="str">
        <f aca="false">"+Δ "&amp;'T-Accounts'!$R$7</f>
        <v>+Δ Salaries payable</v>
      </c>
      <c r="C22" s="86" t="n">
        <f aca="false">'Balance Sheet'!E42</f>
        <v>0</v>
      </c>
      <c r="D22" s="50"/>
      <c r="E22" s="50"/>
      <c r="F22" s="50"/>
      <c r="G22" s="86" t="n">
        <f aca="false">C22-SUM(D22:F22)</f>
        <v>0</v>
      </c>
      <c r="H22" s="128"/>
    </row>
    <row r="23" customFormat="false" ht="15" hidden="false" customHeight="true" outlineLevel="0" collapsed="false">
      <c r="B23" s="22" t="str">
        <f aca="false">"+Δ "&amp;'T-Accounts'!$M$28</f>
        <v>+Δ Interest payable</v>
      </c>
      <c r="C23" s="86" t="n">
        <f aca="false">'Balance Sheet'!E43</f>
        <v>0</v>
      </c>
      <c r="D23" s="50"/>
      <c r="E23" s="50"/>
      <c r="F23" s="50"/>
      <c r="G23" s="86" t="n">
        <f aca="false">C23-SUM(D23:F23)</f>
        <v>0</v>
      </c>
      <c r="H23" s="128"/>
    </row>
    <row r="24" customFormat="false" ht="15" hidden="false" customHeight="true" outlineLevel="0" collapsed="false">
      <c r="B24" s="22" t="str">
        <f aca="false">"+Δ "&amp;'T-Accounts'!$R$28</f>
        <v>+Δ Taxes payable</v>
      </c>
      <c r="C24" s="86" t="n">
        <f aca="false">'Balance Sheet'!E44</f>
        <v>0</v>
      </c>
      <c r="D24" s="50"/>
      <c r="E24" s="50"/>
      <c r="F24" s="50"/>
      <c r="G24" s="86" t="n">
        <f aca="false">C24-SUM(D24:F24)</f>
        <v>0</v>
      </c>
      <c r="H24" s="128"/>
    </row>
    <row r="25" customFormat="false" ht="15" hidden="false" customHeight="true" outlineLevel="0" collapsed="false">
      <c r="B25" s="22" t="str">
        <f aca="false">"+Δ "&amp;'T-Accounts'!$M$49</f>
        <v>+Δ Deposits from customers (unearned rev.)</v>
      </c>
      <c r="C25" s="86" t="n">
        <f aca="false">'Balance Sheet'!E45</f>
        <v>0</v>
      </c>
      <c r="D25" s="50"/>
      <c r="E25" s="50"/>
      <c r="F25" s="50"/>
      <c r="G25" s="86" t="n">
        <f aca="false">C25-SUM(D25:F25)</f>
        <v>0</v>
      </c>
      <c r="H25" s="128"/>
    </row>
    <row r="26" customFormat="false" ht="15" hidden="false" customHeight="true" outlineLevel="0" collapsed="false">
      <c r="B26" s="22" t="str">
        <f aca="false">"+Δ "&amp;'T-Accounts'!$R$49</f>
        <v>+Δ Dividends payable</v>
      </c>
      <c r="C26" s="86" t="n">
        <f aca="false">'Balance Sheet'!E46</f>
        <v>0</v>
      </c>
      <c r="D26" s="50"/>
      <c r="E26" s="50"/>
      <c r="F26" s="50"/>
      <c r="G26" s="86" t="n">
        <f aca="false">C26-SUM(D26:F26)</f>
        <v>0</v>
      </c>
      <c r="H26" s="128"/>
    </row>
    <row r="27" customFormat="false" ht="15" hidden="false" customHeight="true" outlineLevel="0" collapsed="false">
      <c r="B27" s="22" t="str">
        <f aca="false">"+Δ "&amp;'T-Accounts'!$M$70</f>
        <v>+Δ Short-term loans / current portion LTD</v>
      </c>
      <c r="C27" s="86" t="n">
        <f aca="false">'Balance Sheet'!E47</f>
        <v>0</v>
      </c>
      <c r="D27" s="50"/>
      <c r="E27" s="50"/>
      <c r="F27" s="50"/>
      <c r="G27" s="86" t="n">
        <f aca="false">C27-SUM(D27:F27)</f>
        <v>0</v>
      </c>
      <c r="H27" s="128"/>
    </row>
    <row r="28" customFormat="false" ht="15" hidden="false" customHeight="true" outlineLevel="0" collapsed="false">
      <c r="B28" s="22" t="str">
        <f aca="false">"+Δ "&amp;'T-Accounts'!$R$70</f>
        <v>+Δ Payable for machinery</v>
      </c>
      <c r="C28" s="86" t="n">
        <f aca="false">'Balance Sheet'!E48</f>
        <v>0</v>
      </c>
      <c r="D28" s="50"/>
      <c r="E28" s="50"/>
      <c r="F28" s="50"/>
      <c r="G28" s="86" t="n">
        <f aca="false">C28-SUM(D28:F28)</f>
        <v>0</v>
      </c>
      <c r="H28" s="128"/>
    </row>
    <row r="29" customFormat="false" ht="15" hidden="false" customHeight="true" outlineLevel="0" collapsed="false">
      <c r="B29" s="22" t="str">
        <f aca="false">"+Δ "&amp;'T-Accounts'!$M$91</f>
        <v>+Δ Long-term bank loan</v>
      </c>
      <c r="C29" s="86" t="n">
        <f aca="false">'Balance Sheet'!E37</f>
        <v>0</v>
      </c>
      <c r="D29" s="50"/>
      <c r="E29" s="50"/>
      <c r="F29" s="50"/>
      <c r="G29" s="86" t="n">
        <f aca="false">C29-SUM(D29:F29)</f>
        <v>0</v>
      </c>
      <c r="H29" s="128"/>
    </row>
    <row r="30" customFormat="false" ht="15" hidden="false" customHeight="true" outlineLevel="0" collapsed="false">
      <c r="B30" s="22" t="str">
        <f aca="false">"+Δ "&amp;'T-Accounts'!$R$91</f>
        <v>+Δ Mortgage / obligations on land &amp; bldgs</v>
      </c>
      <c r="C30" s="86" t="n">
        <f aca="false">'Balance Sheet'!E38</f>
        <v>0</v>
      </c>
      <c r="D30" s="50"/>
      <c r="E30" s="50"/>
      <c r="F30" s="50"/>
      <c r="G30" s="86" t="n">
        <f aca="false">C30-SUM(D30:F30)</f>
        <v>0</v>
      </c>
      <c r="H30" s="128"/>
    </row>
    <row r="31" customFormat="false" ht="15" hidden="false" customHeight="true" outlineLevel="0" collapsed="false">
      <c r="B31" s="130" t="s">
        <v>53</v>
      </c>
      <c r="C31" s="130"/>
      <c r="D31" s="130"/>
      <c r="E31" s="130"/>
      <c r="F31" s="130"/>
      <c r="G31" s="130"/>
      <c r="H31" s="130"/>
    </row>
    <row r="32" customFormat="false" ht="15" hidden="false" customHeight="true" outlineLevel="0" collapsed="false">
      <c r="B32" s="22" t="str">
        <f aca="false">"+Δ "&amp;'T-Accounts'!$M$112</f>
        <v>+Δ Share capital</v>
      </c>
      <c r="C32" s="86" t="n">
        <f aca="false">'Balance Sheet'!E31</f>
        <v>0</v>
      </c>
      <c r="D32" s="50"/>
      <c r="E32" s="50"/>
      <c r="F32" s="50"/>
      <c r="G32" s="86" t="n">
        <f aca="false">C32-SUM(D32:F32)</f>
        <v>0</v>
      </c>
      <c r="H32" s="128"/>
    </row>
    <row r="33" customFormat="false" ht="15" hidden="false" customHeight="true" outlineLevel="0" collapsed="false">
      <c r="B33" s="22" t="str">
        <f aca="false">"+Δ "&amp;'T-Accounts'!$R$112</f>
        <v>+Δ Share premium</v>
      </c>
      <c r="C33" s="86" t="n">
        <f aca="false">'Balance Sheet'!E32</f>
        <v>0</v>
      </c>
      <c r="D33" s="50"/>
      <c r="E33" s="50"/>
      <c r="F33" s="50"/>
      <c r="G33" s="86" t="n">
        <f aca="false">C33-SUM(D33:F33)</f>
        <v>0</v>
      </c>
      <c r="H33" s="128"/>
    </row>
    <row r="34" customFormat="false" ht="15" hidden="false" customHeight="true" outlineLevel="0" collapsed="false">
      <c r="B34" s="22" t="str">
        <f aca="false">"+Δ "&amp;'T-Accounts'!$M$133</f>
        <v>+Δ Retained profits</v>
      </c>
      <c r="C34" s="86" t="n">
        <f aca="false">'Balance Sheet'!E33</f>
        <v>297000</v>
      </c>
      <c r="D34" s="50" t="n">
        <v>327000</v>
      </c>
      <c r="E34" s="50"/>
      <c r="F34" s="50" t="n">
        <v>-30000</v>
      </c>
      <c r="G34" s="86" t="n">
        <f aca="false">C34-SUM(D34:F34)</f>
        <v>0</v>
      </c>
      <c r="H34" s="128" t="s">
        <v>502</v>
      </c>
    </row>
    <row r="35" customFormat="false" ht="15" hidden="false" customHeight="true" outlineLevel="0" collapsed="false">
      <c r="B35" s="22" t="str">
        <f aca="false">"+Δ "&amp;'T-Accounts'!$R$133</f>
        <v>+Δ Profit &amp; loss for the period (P&amp;L)</v>
      </c>
      <c r="C35" s="86" t="n">
        <f aca="false">'Balance Sheet'!E34</f>
        <v>0</v>
      </c>
      <c r="D35" s="50"/>
      <c r="E35" s="50"/>
      <c r="F35" s="50"/>
      <c r="G35" s="86" t="n">
        <f aca="false">C35-SUM(D35:F35)</f>
        <v>0</v>
      </c>
      <c r="H35" s="128"/>
    </row>
    <row r="36" customFormat="false" ht="15" hidden="false" customHeight="true" outlineLevel="0" collapsed="false">
      <c r="B36" s="119" t="s">
        <v>503</v>
      </c>
      <c r="C36" s="131" t="n">
        <f aca="false">SUM(C6:C35)</f>
        <v>2000</v>
      </c>
      <c r="D36" s="131" t="n">
        <f aca="false">SUM(D6:D35)</f>
        <v>288000</v>
      </c>
      <c r="E36" s="131" t="n">
        <f aca="false">SUM(E6:E35)</f>
        <v>-256000</v>
      </c>
      <c r="F36" s="131" t="n">
        <f aca="false">SUM(F6:F35)</f>
        <v>-30000</v>
      </c>
      <c r="G36" s="131" t="n">
        <f aca="false">SUM(G6:G35)</f>
        <v>0</v>
      </c>
      <c r="H36" s="132"/>
    </row>
    <row r="38" customFormat="false" ht="15" hidden="false" customHeight="true" outlineLevel="0" collapsed="false">
      <c r="B38" s="28" t="s">
        <v>504</v>
      </c>
      <c r="C38" s="10" t="str">
        <f aca="false">IF(ABS(C36-'Balance Sheet'!E7)&lt;0.5,"OK","ERROR: "&amp;TEXT(C36-'Balance Sheet'!E7,"#,##0"))</f>
        <v>OK</v>
      </c>
    </row>
    <row r="39" customFormat="false" ht="15" hidden="false" customHeight="true" outlineLevel="0" collapsed="false">
      <c r="B39" s="28" t="s">
        <v>505</v>
      </c>
      <c r="C39" s="10" t="str">
        <f aca="false">IF(SUMPRODUCT(ABS(G6:G35))&lt;0.5,"OK","ERROR: "&amp;TEXT(SUMPRODUCT(ABS(G6:G35)),"#,##0"))</f>
        <v>OK</v>
      </c>
    </row>
    <row r="40" customFormat="false" ht="15" hidden="false" customHeight="true" outlineLevel="0" collapsed="false">
      <c r="B40" s="28" t="s">
        <v>506</v>
      </c>
      <c r="C40" s="10" t="str">
        <f aca="false">IF(ABS(ABS(D36-'Cash Flow'!C14)+ABS(E36-'Cash Flow'!C23)+ABS(F36-'Cash Flow'!C30))&lt;0.5,"OK","ERROR: "&amp;TEXT(ABS(D36-'Cash Flow'!C14)+ABS(E36-'Cash Flow'!C23)+ABS(F36-'Cash Flow'!C30),"#,##0"))</f>
        <v>OK</v>
      </c>
    </row>
  </sheetData>
  <mergeCells count="5">
    <mergeCell ref="B1:H1"/>
    <mergeCell ref="B5:H5"/>
    <mergeCell ref="B16:H16"/>
    <mergeCell ref="B20:H20"/>
    <mergeCell ref="B31:H31"/>
  </mergeCells>
  <conditionalFormatting sqref="C38">
    <cfRule type="expression" priority="2" aboveAverage="0" equalAverage="0" bottom="0" percent="0" rank="0" text="" dxfId="0">
      <formula>C38="OK"</formula>
    </cfRule>
    <cfRule type="expression" priority="3" aboveAverage="0" equalAverage="0" bottom="0" percent="0" rank="0" text="" dxfId="1">
      <formula>LEFT(C38,5)="ERROR"</formula>
    </cfRule>
  </conditionalFormatting>
  <conditionalFormatting sqref="C39">
    <cfRule type="expression" priority="4" aboveAverage="0" equalAverage="0" bottom="0" percent="0" rank="0" text="" dxfId="0">
      <formula>C39="OK"</formula>
    </cfRule>
    <cfRule type="expression" priority="5" aboveAverage="0" equalAverage="0" bottom="0" percent="0" rank="0" text="" dxfId="1">
      <formula>LEFT(C39,5)="ERROR"</formula>
    </cfRule>
  </conditionalFormatting>
  <conditionalFormatting sqref="C40">
    <cfRule type="expression" priority="6" aboveAverage="0" equalAverage="0" bottom="0" percent="0" rank="0" text="" dxfId="0">
      <formula>C40="OK"</formula>
    </cfRule>
    <cfRule type="expression" priority="7" aboveAverage="0" equalAverage="0" bottom="0" percent="0" rank="0" text="" dxfId="1">
      <formula>LEFT(C40,5)="ERROR"</formula>
    </cfRule>
  </conditionalFormatting>
  <conditionalFormatting sqref="G6:G35">
    <cfRule type="expression" priority="8" aboveAverage="0" equalAverage="0" bottom="0" percent="0" rank="0" text="" dxfId="0">
      <formula>G6="OK"</formula>
    </cfRule>
    <cfRule type="expression" priority="9" aboveAverage="0" equalAverage="0" bottom="0" percent="0" rank="0" text="" dxfId="1">
      <formula>LEFT(G6,5)="ERROR"</formula>
    </cfRule>
    <cfRule type="expression" priority="10" aboveAverage="0" equalAverage="0" bottom="0" percent="0" rank="0" text="" dxfId="2">
      <formula>ABS(G6)&gt;=0.5</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true" outlineLevel="0" collapsed="false">
      <c r="A1" s="1" t="str">
        <f aca="false">'T-Accounts'!$B$7</f>
        <v>Cash &amp; cash equivalents</v>
      </c>
      <c r="B1" s="1" t="s">
        <v>69</v>
      </c>
      <c r="C1" s="1" t="s">
        <v>202</v>
      </c>
    </row>
    <row r="2" customFormat="false" ht="15" hidden="false" customHeight="true" outlineLevel="0" collapsed="false">
      <c r="A2" s="1" t="str">
        <f aca="false">'T-Accounts'!$G$7</f>
        <v>Marketable securities</v>
      </c>
      <c r="B2" s="1" t="s">
        <v>185</v>
      </c>
      <c r="C2" s="1" t="s">
        <v>186</v>
      </c>
    </row>
    <row r="3" customFormat="false" ht="15" hidden="false" customHeight="true" outlineLevel="0" collapsed="false">
      <c r="A3" s="1" t="str">
        <f aca="false">'T-Accounts'!$B$28</f>
        <v>Accounts receivable</v>
      </c>
      <c r="B3" s="1" t="s">
        <v>72</v>
      </c>
      <c r="C3" s="1" t="s">
        <v>231</v>
      </c>
    </row>
    <row r="4" customFormat="false" ht="15" hidden="false" customHeight="true" outlineLevel="0" collapsed="false">
      <c r="A4" s="1" t="str">
        <f aca="false">'T-Accounts'!$G$28</f>
        <v>Finished goods inventory</v>
      </c>
      <c r="B4" s="1" t="s">
        <v>192</v>
      </c>
      <c r="C4" s="1" t="s">
        <v>214</v>
      </c>
    </row>
    <row r="5" customFormat="false" ht="15" hidden="false" customHeight="true" outlineLevel="0" collapsed="false">
      <c r="A5" s="1" t="str">
        <f aca="false">'T-Accounts'!$B$49</f>
        <v>Raw materials inventory</v>
      </c>
      <c r="B5" s="1" t="s">
        <v>253</v>
      </c>
    </row>
    <row r="6" customFormat="false" ht="15" hidden="false" customHeight="true" outlineLevel="0" collapsed="false">
      <c r="A6" s="1" t="str">
        <f aca="false">'T-Accounts'!$G$49</f>
        <v>Work in progress (WIP)</v>
      </c>
      <c r="B6" s="1" t="s">
        <v>230</v>
      </c>
    </row>
    <row r="7" customFormat="false" ht="15" hidden="false" customHeight="true" outlineLevel="0" collapsed="false">
      <c r="A7" s="1" t="str">
        <f aca="false">'T-Accounts'!$B$70</f>
        <v>Land</v>
      </c>
      <c r="B7" s="1" t="s">
        <v>223</v>
      </c>
    </row>
    <row r="8" customFormat="false" ht="15" hidden="false" customHeight="true" outlineLevel="0" collapsed="false">
      <c r="A8" s="1" t="str">
        <f aca="false">'T-Accounts'!$G$70</f>
        <v>Website (net of amortization)</v>
      </c>
      <c r="B8" s="1" t="s">
        <v>212</v>
      </c>
    </row>
    <row r="9" customFormat="false" ht="15" hidden="false" customHeight="true" outlineLevel="0" collapsed="false">
      <c r="A9" s="1" t="str">
        <f aca="false">'T-Accounts'!$B$91</f>
        <v>Buildings</v>
      </c>
      <c r="B9" s="1" t="s">
        <v>216</v>
      </c>
    </row>
    <row r="10" customFormat="false" ht="15" hidden="false" customHeight="true" outlineLevel="0" collapsed="false">
      <c r="A10" s="1" t="str">
        <f aca="false">'T-Accounts'!$G$91</f>
        <v>Accum. depreciation – Buildings</v>
      </c>
      <c r="B10" s="1" t="s">
        <v>234</v>
      </c>
    </row>
    <row r="11" customFormat="false" ht="15" hidden="false" customHeight="true" outlineLevel="0" collapsed="false">
      <c r="A11" s="1" t="str">
        <f aca="false">'T-Accounts'!$B$112</f>
        <v>Furniture &amp; equipment</v>
      </c>
    </row>
    <row r="12" customFormat="false" ht="15" hidden="false" customHeight="true" outlineLevel="0" collapsed="false">
      <c r="A12" s="1" t="str">
        <f aca="false">'T-Accounts'!$G$112</f>
        <v>Accum. depreciation – Furn. &amp; equip.</v>
      </c>
    </row>
    <row r="13" customFormat="false" ht="15" hidden="false" customHeight="true" outlineLevel="0" collapsed="false">
      <c r="A13" s="1" t="str">
        <f aca="false">'T-Accounts'!$B$133</f>
        <v>Machinery</v>
      </c>
    </row>
    <row r="14" customFormat="false" ht="15" hidden="false" customHeight="true" outlineLevel="0" collapsed="false">
      <c r="A14" s="1" t="str">
        <f aca="false">'T-Accounts'!$G$133</f>
        <v>Accum. depreciation – Machinery</v>
      </c>
    </row>
    <row r="15" customFormat="false" ht="15" hidden="false" customHeight="true" outlineLevel="0" collapsed="false">
      <c r="A15" s="1" t="str">
        <f aca="false">'T-Accounts'!$M$7</f>
        <v>Accounts payable</v>
      </c>
    </row>
    <row r="16" customFormat="false" ht="15" hidden="false" customHeight="true" outlineLevel="0" collapsed="false">
      <c r="A16" s="1" t="str">
        <f aca="false">'T-Accounts'!$R$7</f>
        <v>Salaries payable</v>
      </c>
    </row>
    <row r="17" customFormat="false" ht="15" hidden="false" customHeight="true" outlineLevel="0" collapsed="false">
      <c r="A17" s="1" t="str">
        <f aca="false">'T-Accounts'!$M$28</f>
        <v>Interest payable</v>
      </c>
    </row>
    <row r="18" customFormat="false" ht="15" hidden="false" customHeight="true" outlineLevel="0" collapsed="false">
      <c r="A18" s="1" t="str">
        <f aca="false">'T-Accounts'!$R$28</f>
        <v>Taxes payable</v>
      </c>
    </row>
    <row r="19" customFormat="false" ht="15" hidden="false" customHeight="true" outlineLevel="0" collapsed="false">
      <c r="A19" s="1" t="str">
        <f aca="false">'T-Accounts'!$M$49</f>
        <v>Deposits from customers (unearned rev.)</v>
      </c>
    </row>
    <row r="20" customFormat="false" ht="15" hidden="false" customHeight="true" outlineLevel="0" collapsed="false">
      <c r="A20" s="1" t="str">
        <f aca="false">'T-Accounts'!$R$49</f>
        <v>Dividends payable</v>
      </c>
    </row>
    <row r="21" customFormat="false" ht="15" hidden="false" customHeight="true" outlineLevel="0" collapsed="false">
      <c r="A21" s="1" t="str">
        <f aca="false">'T-Accounts'!$M$70</f>
        <v>Short-term loans / current portion LTD</v>
      </c>
    </row>
    <row r="22" customFormat="false" ht="15" hidden="false" customHeight="true" outlineLevel="0" collapsed="false">
      <c r="A22" s="1" t="str">
        <f aca="false">'T-Accounts'!$R$70</f>
        <v>Payable for machinery</v>
      </c>
    </row>
    <row r="23" customFormat="false" ht="15" hidden="false" customHeight="true" outlineLevel="0" collapsed="false">
      <c r="A23" s="1" t="str">
        <f aca="false">'T-Accounts'!$M$91</f>
        <v>Long-term bank loan</v>
      </c>
    </row>
    <row r="24" customFormat="false" ht="15" hidden="false" customHeight="true" outlineLevel="0" collapsed="false">
      <c r="A24" s="1" t="str">
        <f aca="false">'T-Accounts'!$R$91</f>
        <v>Mortgage / obligations on land &amp; bldgs</v>
      </c>
    </row>
    <row r="25" customFormat="false" ht="15" hidden="false" customHeight="true" outlineLevel="0" collapsed="false">
      <c r="A25" s="1" t="str">
        <f aca="false">'T-Accounts'!$M$112</f>
        <v>Share capital</v>
      </c>
    </row>
    <row r="26" customFormat="false" ht="15" hidden="false" customHeight="true" outlineLevel="0" collapsed="false">
      <c r="A26" s="1" t="str">
        <f aca="false">'T-Accounts'!$R$112</f>
        <v>Share premium</v>
      </c>
    </row>
    <row r="27" customFormat="false" ht="15" hidden="false" customHeight="true" outlineLevel="0" collapsed="false">
      <c r="A27" s="1" t="str">
        <f aca="false">'T-Accounts'!$M$133</f>
        <v>Retained profits</v>
      </c>
    </row>
    <row r="28" customFormat="false" ht="15" hidden="false" customHeight="true" outlineLevel="0" collapsed="false">
      <c r="A28" s="1" t="str">
        <f aca="false">'T-Accounts'!$R$133</f>
        <v>Profit &amp; loss for the period (P&amp;L)</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2026-09-28T15:52:36Z</dcterms:created>
  <dc:creator>openpyxl</dc:creator>
  <dc:description/>
  <dc:language>en-US</dc:language>
  <cp:lastModifiedBy/>
  <dcterms:modified xsi:type="dcterms:W3CDTF">2026-09-29T15:30:59Z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