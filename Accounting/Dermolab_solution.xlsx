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Guide" sheetId="1" state="visible" r:id="rId3"/>
    <sheet name="Case solution" sheetId="2" state="visible" r:id="rId4"/>
    <sheet name="Journal" sheetId="3" state="visible" r:id="rId5"/>
    <sheet name="T-Accounts" sheetId="4" state="visible" r:id="rId6"/>
    <sheet name="Lists" sheetId="5" state="hidden"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<sst xmlns="http://schemas.openxmlformats.org/spreadsheetml/2006/main" count="788" uniqueCount="339">
  <si>
    <t xml:space="preserve">FINANCIAL ACCOUNTING HOMEWORK TEMPLATE</t>
  </si>
  <si>
    <t xml:space="preserve">Company name</t>
  </si>
  <si>
    <t xml:space="preserve">Laboratorios Dermolab</t>
  </si>
  <si>
    <t xml:space="preserve">← fill in once, every sheet picks it up</t>
  </si>
  <si>
    <t xml:space="preserve">Period (e.g. Year 1)</t>
  </si>
  <si>
    <t xml:space="preserve">2018–2021</t>
  </si>
  <si>
    <t xml:space="preserve">Currency / units</t>
  </si>
  <si>
    <t xml:space="preserve">€</t>
  </si>
  <si>
    <t xml:space="preserve">WORKFLOW (do the sheets in this order)</t>
  </si>
  <si>
    <t xml:space="preserve">1. Journal: write every transaction as a journal entry (Dr = Cr). Give each entry a number (1, 2, 3a, 3b, …, CE).</t>
  </si>
  <si>
    <t xml:space="preserve">2. T-Accounts: post each entry to its T-accounts, writing the entry # in the grey # columns. Beginning balances go on the BB row.</t>
  </si>
  <si>
    <t xml:space="preserve">3. Balance Sheet: fills itself from the T-accounts (beginning and ending balances). Check that Assets = L + OE.</t>
  </si>
  <si>
    <t xml:space="preserve">4. Income Statement: type the revenues/expenses from the P&amp;L T-account. Expenses and losses go in as NEGATIVE numbers.</t>
  </si>
  <si>
    <t xml:space="preserve">5. Cash Flow: type each cash movement from the Cash T-account in the direct method. The indirect method fills itself.</t>
  </si>
  <si>
    <t xml:space="preserve">6. CF Worksheet (optional): the course's ΔCash = −ΔA* + ΔL + ΔOE table. Use it to check the indirect method line by line.</t>
  </si>
  <si>
    <t xml:space="preserve">7. Every check cell must say OK in green. A red ERROR tells you how far off you are.</t>
  </si>
  <si>
    <t xml:space="preserve">COLOUR LEGEND</t>
  </si>
  <si>
    <t xml:space="preserve">1,000</t>
  </si>
  <si>
    <t xml:space="preserve">Blue text = number you type in (input)</t>
  </si>
  <si>
    <t xml:space="preserve">Black text = formula (don't type over it)</t>
  </si>
  <si>
    <t xml:space="preserve">Assets</t>
  </si>
  <si>
    <t xml:space="preserve">Asset section header (your red)</t>
  </si>
  <si>
    <t xml:space="preserve">Account</t>
  </si>
  <si>
    <t xml:space="preserve">Asset T-account title</t>
  </si>
  <si>
    <t xml:space="preserve">L &amp; OE</t>
  </si>
  <si>
    <t xml:space="preserve">Liabilities &amp; owners' equity section header (your blue)</t>
  </si>
  <si>
    <t xml:space="preserve">Liability T-account title</t>
  </si>
  <si>
    <t xml:space="preserve">Owners' equity T-account title</t>
  </si>
  <si>
    <t xml:space="preserve">P&amp;L</t>
  </si>
  <si>
    <t xml:space="preserve">Profit &amp; loss for the period (temporary OE account)</t>
  </si>
  <si>
    <t xml:space="preserve">I/S</t>
  </si>
  <si>
    <t xml:space="preserve">Income statement (green family)</t>
  </si>
  <si>
    <t xml:space="preserve">C/F</t>
  </si>
  <si>
    <t xml:space="preserve">Cash flow statement (purple, with orange for CFI and cyan for CFF)</t>
  </si>
  <si>
    <t xml:space="preserve">OK</t>
  </si>
  <si>
    <t xml:space="preserve">Check passed</t>
  </si>
  <si>
    <t xml:space="preserve">ERROR</t>
  </si>
  <si>
    <t xml:space="preserve">Check failed. The number is the difference.</t>
  </si>
  <si>
    <t xml:space="preserve">DEBIT / CREDIT RULES (CN-230-E, T-accounts section)</t>
  </si>
  <si>
    <t xml:space="preserve">Account type</t>
  </si>
  <si>
    <t xml:space="preserve">Increase</t>
  </si>
  <si>
    <t xml:space="preserve">Decrease</t>
  </si>
  <si>
    <t xml:space="preserve">Normal balance</t>
  </si>
  <si>
    <t xml:space="preserve">Examples</t>
  </si>
  <si>
    <t xml:space="preserve">Debit (left)</t>
  </si>
  <si>
    <t xml:space="preserve">Credit (right)</t>
  </si>
  <si>
    <t xml:space="preserve">Debit</t>
  </si>
  <si>
    <t xml:space="preserve">Cash, A/R, inventory, PPE</t>
  </si>
  <si>
    <t xml:space="preserve">Contra-assets</t>
  </si>
  <si>
    <t xml:space="preserve">Credit</t>
  </si>
  <si>
    <t xml:space="preserve">Accumulated depreciation / amortization</t>
  </si>
  <si>
    <t xml:space="preserve">Liabilities</t>
  </si>
  <si>
    <t xml:space="preserve">A/P, taxes payable, loans</t>
  </si>
  <si>
    <t xml:space="preserve">Owners' equity</t>
  </si>
  <si>
    <t xml:space="preserve">Share capital, retained profits</t>
  </si>
  <si>
    <t xml:space="preserve">P&amp;L: revenues &amp; gains</t>
  </si>
  <si>
    <t xml:space="preserve">Sales, financial income</t>
  </si>
  <si>
    <t xml:space="preserve">P&amp;L: expenses &amp; losses</t>
  </si>
  <si>
    <t xml:space="preserve">COGS, salaries, depreciation, tax</t>
  </si>
  <si>
    <t xml:space="preserve">Every entry: total debits = total credits.  A = L + OE always holds.  Debit/credit mean LEFT/RIGHT, not +/−.</t>
  </si>
  <si>
    <t xml:space="preserve">Closing entry (CE): Dr Profit for the period / Cr Retained profits (net profit). After it the P&amp;L account is zero.</t>
  </si>
  <si>
    <t xml:space="preserve">Dividends are NOT an expense: Dr Retained profits / Cr Cash (or Dividends payable).</t>
  </si>
  <si>
    <t xml:space="preserve">EXAMPLE JOURNAL ENTRY (from the course note: a €10,000 loan received in cash)</t>
  </si>
  <si>
    <t xml:space="preserve">#  /  Account</t>
  </si>
  <si>
    <t xml:space="preserve">Dr</t>
  </si>
  <si>
    <t xml:space="preserve">Cr</t>
  </si>
  <si>
    <t xml:space="preserve">Effect</t>
  </si>
  <si>
    <t xml:space="preserve">Cash flow class</t>
  </si>
  <si>
    <t xml:space="preserve">1  Cash</t>
  </si>
  <si>
    <t xml:space="preserve">A+</t>
  </si>
  <si>
    <t xml:space="preserve">F (new loan)</t>
  </si>
  <si>
    <t xml:space="preserve">1  Long-term bank loan</t>
  </si>
  <si>
    <t xml:space="preserve">L+</t>
  </si>
  <si>
    <t xml:space="preserve">CASH FLOW CLASSIFICATION (CN-233-E)</t>
  </si>
  <si>
    <t xml:space="preserve">Operating (CFO)</t>
  </si>
  <si>
    <t xml:space="preserve">Collections from customers, payments to suppliers / employees / rent / utilities, INTEREST paid &amp; received, TAXES paid, dividends received.</t>
  </si>
  <si>
    <t xml:space="preserve">Investing (CFI)</t>
  </si>
  <si>
    <t xml:space="preserve">Purchase / sale of land, buildings, PPE, intangibles (software), shares of other firms, marketable securities that are not cash equivalents.</t>
  </si>
  <si>
    <t xml:space="preserve">Financing (CFF)</t>
  </si>
  <si>
    <t xml:space="preserve">Share issues, NEW loans received, loan / mortgage PRINCIPAL repaid, dividends paid.</t>
  </si>
  <si>
    <t xml:space="preserve">Not cash at all</t>
  </si>
  <si>
    <t xml:space="preserve">Depreciation, amortization, purchases on credit, gains/losses on disposals. They go in the indirect method as adjustments only.</t>
  </si>
  <si>
    <t xml:space="preserve">Cash equivalents</t>
  </si>
  <si>
    <t xml:space="preserve">Investments maturing in under 3 months count as CASH. Those maturing in 3 to 12 months are marketable securities (investing).</t>
  </si>
  <si>
    <t xml:space="preserve">KEY FORMULAS</t>
  </si>
  <si>
    <t xml:space="preserve">Accounting identity</t>
  </si>
  <si>
    <t xml:space="preserve">A = L + OE     (net assets: A − L = OE)</t>
  </si>
  <si>
    <t xml:space="preserve">Change in cash</t>
  </si>
  <si>
    <t xml:space="preserve">ΔCash = −ΔAssets other than cash + ΔL + ΔOE   (Δ = ending − beginning)</t>
  </si>
  <si>
    <t xml:space="preserve">Working capital</t>
  </si>
  <si>
    <t xml:space="preserve">Current assets − current liabilities</t>
  </si>
  <si>
    <t xml:space="preserve">CFO (indirect)</t>
  </si>
  <si>
    <t xml:space="preserve">Net profit + depreciation &amp; amortization + non-operating losses − non-operating gains − ΔOperating assets + ΔOperating liabilities</t>
  </si>
  <si>
    <t xml:space="preserve">Free cash flow</t>
  </si>
  <si>
    <t xml:space="preserve">CFO − capex (in the course example: CFO + CFI = 93 − 69 = 24)</t>
  </si>
  <si>
    <t xml:space="preserve">Gain / loss on sale</t>
  </si>
  <si>
    <t xml:space="preserve">Selling price − book value (cost − accumulated depreciation) of the asset sold</t>
  </si>
  <si>
    <t xml:space="preserve">HOW TO MERGE CELLS / ADD ROWS</t>
  </si>
  <si>
    <t xml:space="preserve">Excel</t>
  </si>
  <si>
    <t xml:space="preserve">Select the cells → Home tab → 'Merge &amp; Center' (the drop-down arrow also offers 'Merge Across' and 'Unmerge Cells').</t>
  </si>
  <si>
    <t xml:space="preserve">LibreOffice Calc</t>
  </si>
  <si>
    <t xml:space="preserve">Select the cells → Format menu → Merge and Unmerge Cells → Merge and Center Cells (or the Merge button on the toolbar). If it asks, choose to keep only the first cell's content.</t>
  </si>
  <si>
    <t xml:space="preserve">Tip</t>
  </si>
  <si>
    <t xml:space="preserve">Merge only titles and headers, never cells that hold numbers. Formulas and sorting break on merged number cells.</t>
  </si>
  <si>
    <t xml:space="preserve">Need more lines in a T?</t>
  </si>
  <si>
    <t xml:space="preserve">Right-click a row number INSIDE the T (between BB and Total) → Insert Rows. The Total/EB SUMs stretch automatically. Inserting a row affects the whole sheet row, so both T-accounts on that row get it.</t>
  </si>
  <si>
    <t xml:space="preserve">DERMOLAB – NON-CURRENT ASSETS: TREATMENT OF THE 11 EVENTS</t>
  </si>
  <si>
    <t xml:space="preserve">#</t>
  </si>
  <si>
    <t xml:space="preserve">Event</t>
  </si>
  <si>
    <t xml:space="preserve">Treatment</t>
  </si>
  <si>
    <t xml:space="preserve">Why (IFRS)</t>
  </si>
  <si>
    <t xml:space="preserve">Amount</t>
  </si>
  <si>
    <t xml:space="preserve">1</t>
  </si>
  <si>
    <t xml:space="preserve">Land donated by Viladecans (promised Jul 2018, formalized Jan 2019)</t>
  </si>
  <si>
    <t xml:space="preserve">Jan 2019: asset LAND at fair value; credit Grant/Donation as a LIABILITY. No entry in 2018. Land is not depreciated, so the grant is not released to the P&amp;L (slide 2).</t>
  </si>
  <si>
    <t xml:space="preserve">A conditional promise isn't an asset until the condition (jobs) is met (IAS 20.7). A non-monetary grant is measured at FAIR VALUE (750,000, the expert appraisal); the 550,000 is only a tax value.</t>
  </si>
  <si>
    <t xml:space="preserve">2</t>
  </si>
  <si>
    <t xml:space="preserve">Old premises sold (Oct 2018)</t>
  </si>
  <si>
    <t xml:space="preserve">Remove cost of land (5M) and of building (6M) and its accumulated depreciation (5.4M). Gain to P&amp;L.</t>
  </si>
  <si>
    <t xml:space="preserve">Gain = price − book value. Land 10M − 5M = 5M; building 3M − 0.6M = 2.4M. Total gain 7.4M (non-recurring). Cash +13M is INVESTING.</t>
  </si>
  <si>
    <t xml:space="preserve">3</t>
  </si>
  <si>
    <t xml:space="preserve">Demolition 25,000 + levelling &amp; drainage 100,000</t>
  </si>
  <si>
    <t xml:space="preserve">CAPITALIZE as part of the LAND.</t>
  </si>
  <si>
    <t xml:space="preserve">Costs needed to get the land ready for its intended use are part of its cost (IAS 16.16b). Land is not depreciated, so neither are these costs.</t>
  </si>
  <si>
    <t xml:space="preserve">4</t>
  </si>
  <si>
    <t xml:space="preserve">New building &amp; production facilities (2019, in use Jan 2020)</t>
  </si>
  <si>
    <t xml:space="preserve">During 2019: construction in progress (not depreciated). Jan 2020: transfer to Buildings 620,000 and Facilities 310,000.</t>
  </si>
  <si>
    <t xml:space="preserve">All costs to bring the asset into use are capitalized: building 450,000 + management &amp; permits 150,000; facilities 240,000 + installation 60,000. 2019 loan interest (30,000) is CAPITALIZED (IAS 23) and split by cost: 20,000 building (600/900) + 10,000 facilities (300/900). From 2020 interest is an expense (570,000 × 5% = 28,500). Depreciation: building 620,000 / 20 = 31,000/yr; facilities 310,000 / 10 = 31,000/yr.</t>
  </si>
  <si>
    <t xml:space="preserve">5</t>
  </si>
  <si>
    <t xml:space="preserve">Moving equipment to the new plant (2020)</t>
  </si>
  <si>
    <t xml:space="preserve">EXPENSE everything: 7,000 + 1,000 insurance = 8,000 paid. Staff 450 h: no extra entry.</t>
  </si>
  <si>
    <t xml:space="preserve">Relocation costs are explicitly NOT part of an asset's cost (IAS 16.20-21). The 450 h × 20 = 9,000 of staff cost is already in salaries expense; recording it again would double count. The 45/h price is never used (it includes overhead and profit).</t>
  </si>
  <si>
    <t xml:space="preserve">6</t>
  </si>
  <si>
    <t xml:space="preserve">Special maintenance +15% productivity</t>
  </si>
  <si>
    <t xml:space="preserve">CAPITALIZE as an improvement to machinery; depreciate over 10 years (4,000/yr from 2021).</t>
  </si>
  <si>
    <t xml:space="preserve">It increases future economic benefits (more output), so it is not ordinary repair &amp; maintenance, which would be an expense (IAS 16.7, 16.12).</t>
  </si>
  <si>
    <t xml:space="preserve">7</t>
  </si>
  <si>
    <t xml:space="preserve">New equipment bought in 2020</t>
  </si>
  <si>
    <t xml:space="preserve">Cost = 200,000 − 2% (4,000) + 600 transport + own installation 100 h × (20 + 10) = 199,600.</t>
  </si>
  <si>
    <t xml:space="preserve">Purchase price NET of discounts plus every cost to bring it to working condition (IAS 16.16-17). Own staff at PRODUCTION COST: direct 20/h + reasonable overhead 10/h, never the 15/h profit. Credit P&amp;L 'own work capitalized' because the salaries are already expensed.</t>
  </si>
  <si>
    <t xml:space="preserve">8</t>
  </si>
  <si>
    <t xml:space="preserve">Patent bought (Jan 2021) + development (10,000 h × 42)</t>
  </si>
  <si>
    <t xml:space="preserve">Patent 1,000,000 and development 420,000 → INTANGIBLE ASSETS (1,420,000). Amortize over 10 years: 142,000 for 2021.</t>
  </si>
  <si>
    <t xml:space="preserve">Acquired patent = intangible at cost (IAS 38.25). Development is capitalized when technically feasible, approved and marketable (IAS 38.57). Use the ECONOMIC life (10) when it is shorter than the legal life (15). The slides charge a full year: 1,420,000 / 10 = 142,000.</t>
  </si>
  <si>
    <t xml:space="preserve">9</t>
  </si>
  <si>
    <t xml:space="preserve">Research on two new projects (Jul–Dec 2021)</t>
  </si>
  <si>
    <t xml:space="preserve">EXPENSE: external 224,000. The 17,000 h (≈714,000 at 42/h) are already in salaries expense.</t>
  </si>
  <si>
    <t xml:space="preserve">Research costs are ALWAYS expensed (IAS 38.54). 'Too early to determine the degree of development' = still research.</t>
  </si>
  <si>
    <t xml:space="preserve">10</t>
  </si>
  <si>
    <t xml:space="preserve">Brand value rose to 3,000,000</t>
  </si>
  <si>
    <t xml:space="preserve">NO ENTRY.</t>
  </si>
  <si>
    <t xml:space="preserve">Internally generated brands are never recognized as assets (IAS 38.63), and increases in value are not recorded.</t>
  </si>
  <si>
    <t xml:space="preserve">11</t>
  </si>
  <si>
    <t xml:space="preserve">Competitor launches a substitute (Dec 2021)</t>
  </si>
  <si>
    <t xml:space="preserve">IMPAIRMENT LOSS 278,000 to P&amp;L. From 2022, amortize the new 1,000,000 over 5 years (200,000/yr).</t>
  </si>
  <si>
    <t xml:space="preserve">Book value 1,420,000 − 142,000 = 1,278,000. Recoverable amount = HIGHER of value in use (1,000,000) and fair value less costs to sell (800,000 offer) = 1,000,000 (IAS 36.18). Loss = 278,000. The 1,800,000 old estimate is irrelevant: an intangible is never written UP above cost.</t>
  </si>
  <si>
    <t xml:space="preserve">P&amp;L IMPACT BY YEAR (from these events only)</t>
  </si>
  <si>
    <t xml:space="preserve">Item</t>
  </si>
  <si>
    <t xml:space="preserve">2018 / 2019</t>
  </si>
  <si>
    <t xml:space="preserve">2020</t>
  </si>
  <si>
    <t xml:space="preserve">2021</t>
  </si>
  <si>
    <t xml:space="preserve">Gain on sale of old premises (2)</t>
  </si>
  <si>
    <t xml:space="preserve">Relocation expenses (5)</t>
  </si>
  <si>
    <t xml:space="preserve">Own work capitalized (7b, 8b)</t>
  </si>
  <si>
    <t xml:space="preserve">Research expense – external (9)</t>
  </si>
  <si>
    <t xml:space="preserve">Interest expense (4) – 2019 capitalized</t>
  </si>
  <si>
    <t xml:space="preserve">Depreciation building &amp; facilities (4, 6)</t>
  </si>
  <si>
    <t xml:space="preserve">Amortization patent &amp; development (8)</t>
  </si>
  <si>
    <t xml:space="preserve">Impairment loss Baldnessox (11)</t>
  </si>
  <si>
    <t xml:space="preserve">Total effect on profit</t>
  </si>
  <si>
    <t xml:space="preserve">2018 / 2019 column: everything is 2018 (the gain). 2019 has no P&amp;L effect: the interest is capitalized and the grant is deferred. Salaries of researchers/installers are not shown; they were already recorded as personnel expense.</t>
  </si>
  <si>
    <t xml:space="preserve">WHY IS THE P&amp;L CREDITED IN EVENTS 7 AND 8? (and why it is DEBITED in 11)</t>
  </si>
  <si>
    <t xml:space="preserve">• The rule hasn't changed: an expense is a DEBIT to the P&amp;L. In events 7 and 8 the expense was ALREADY debited, when the staff were paid during the year: Dr P&amp;L – Salaries / Cr Cash.</t>
  </si>
  <si>
    <t xml:space="preserve">• Some of those salaries were not a cost of running the business: they created an asset (the installed equipment in 7, the Baldnessox development in 8). That part must leave the P&amp;L and go into the asset.</t>
  </si>
  <si>
    <t xml:space="preserve">• To take a debit out of the P&amp;L you CREDIT it: Dr Development costs (asset) 420,000 / Cr P&amp;L 420,000. The net result: salaries 420,000 debit − 420,000 credit = 0 in the P&amp;L, and the asset holds 420,000.</t>
  </si>
  <si>
    <t xml:space="preserve">• Spanish GAAP (by nature) shows the credit as an income line, 'Work carried out by the company for its own assets'. IFRS (by function) shows it as a reduction of salaries ('Salaries &amp; other expenses − 3,000'). Same entry, two presentations (slide 11).</t>
  </si>
  <si>
    <t xml:space="preserve">• The asset is then expensed LATER, through amortization (event 11: 142,000 a year), so the cost reaches the P&amp;L in the years when the product earns revenue.</t>
  </si>
  <si>
    <t xml:space="preserve">• Event 11 is the opposite: amortization 142,000 and impairment 278,000 are real losses of value, so the P&amp;L is DEBITED. The CREDITS go to Accumulated amortization and Accumulated impairment, which are contra-assets that reduce the patent's book value to 1,000,000 (slide 36).</t>
  </si>
  <si>
    <t xml:space="preserve">ASSUMPTIONS (where the case is silent; the slides settle the rest)</t>
  </si>
  <si>
    <t xml:space="preserve">• Loan (4): 30,000 of principal (600,000 / 20) plus interest paid each December, starting Dec 2019. Slide 8 says 'Loan: 1 Jan 2020', but the case says January 2019, and the capitalized 2019 interest only works with 2019.</t>
  </si>
  <si>
    <t xml:space="preserve">• Facilities (4) come into use with the building in January 2020. The improvement (6) is depreciated over 10 years from 2021 (4,000/yr, slide 10).</t>
  </si>
  <si>
    <t xml:space="preserve">• New equipment (7): no useful life is given, so no depreciation is computed.</t>
  </si>
  <si>
    <t xml:space="preserve">• Old premises (2): their cost and accumulated depreciation are entered as beginning balances (BB), because only the sale is recorded here. The cash T-account starts at zero, so its ending balance is not the real bank balance.</t>
  </si>
  <si>
    <t xml:space="preserve">JOURNAL ENTRIES</t>
  </si>
  <si>
    <t xml:space="preserve">Company:</t>
  </si>
  <si>
    <t xml:space="preserve">Period:</t>
  </si>
  <si>
    <t xml:space="preserve">TOTAL</t>
  </si>
  <si>
    <t xml:space="preserve">Description of transaction</t>
  </si>
  <si>
    <t xml:space="preserve">Account (pick from list or type)</t>
  </si>
  <si>
    <t xml:space="preserve">Cash flow</t>
  </si>
  <si>
    <t xml:space="preserve">Entry check</t>
  </si>
  <si>
    <t xml:space="preserve">Notes &amp; reminders</t>
  </si>
  <si>
    <t xml:space="preserve">Jul 2018 – land donation only PROMISED (condition: create local jobs) → no entry yet</t>
  </si>
  <si>
    <t xml:space="preserve">(no entry in 2018)</t>
  </si>
  <si>
    <t xml:space="preserve">How to use</t>
  </si>
  <si>
    <t xml:space="preserve">Oct 2018 – old premises sold: land 10,000,000 + building &amp; facilities 3,000,000</t>
  </si>
  <si>
    <t xml:space="preserve">Cash &amp; cash equivalents</t>
  </si>
  <si>
    <t xml:space="preserve">I</t>
  </si>
  <si>
    <t xml:space="preserve">One line per account touched. All lines of the same transaction share the same # (e.g. 3a, 3a).</t>
  </si>
  <si>
    <t xml:space="preserve">Accum. depreciation – Buildings</t>
  </si>
  <si>
    <t xml:space="preserve">Contra-A−</t>
  </si>
  <si>
    <t xml:space="preserve">Write the debit lines first, then the credit lines (Dr Cash / Cr Loan).</t>
  </si>
  <si>
    <t xml:space="preserve">Land</t>
  </si>
  <si>
    <t xml:space="preserve">A−</t>
  </si>
  <si>
    <t xml:space="preserve">For P&amp;L lines, write e.g. 'P&amp;L – Sales revenue' or 'P&amp;L – Salaries expense' so the Income Statement is easy to build.</t>
  </si>
  <si>
    <t xml:space="preserve">Buildings (old premises + new building)</t>
  </si>
  <si>
    <t xml:space="preserve">Effect column: A+/A−/L+/L−/OE+/OE−, as in the course notes. It forces you to think about which side each line goes on.</t>
  </si>
  <si>
    <t xml:space="preserve">Gain: land 10M − 5M = 5M; building 3M − (6M − 5.4M) = 2.4M</t>
  </si>
  <si>
    <t xml:space="preserve">P&amp;L – Gain on sale of non-current assets</t>
  </si>
  <si>
    <t xml:space="preserve">Rev (OE+)</t>
  </si>
  <si>
    <t xml:space="preserve">Cash flow column: only for lines that touch CASH. O = operating, I = investing, F = financing.</t>
  </si>
  <si>
    <t xml:space="preserve">Jan 2019 – jobs created, donation formalized: land at FAIR VALUE 750,000 (not 550,000 tax value)</t>
  </si>
  <si>
    <t xml:space="preserve">Non-cash</t>
  </si>
  <si>
    <t xml:space="preserve">Entry check turns green when that # balances (debits = credits).</t>
  </si>
  <si>
    <t xml:space="preserve">Deferred income – land donation (grant)</t>
  </si>
  <si>
    <t xml:space="preserve">Rule of thumb</t>
  </si>
  <si>
    <t xml:space="preserve">Jan 2019 – demolition 25,000 + levelling &amp; drainage 100,000 → prepare the land for use</t>
  </si>
  <si>
    <t xml:space="preserve">Debits: asset ↑, expense ↑, liability ↓, OE ↓</t>
  </si>
  <si>
    <t xml:space="preserve">Credits: asset ↓, revenue ↑, liability ↑, OE ↑</t>
  </si>
  <si>
    <t xml:space="preserve">4a</t>
  </si>
  <si>
    <t xml:space="preserve">Jan 2019 – bank loan 600,000 at 5%, 20 annual instalments</t>
  </si>
  <si>
    <t xml:space="preserve">F</t>
  </si>
  <si>
    <t xml:space="preserve">Hint</t>
  </si>
  <si>
    <t xml:space="preserve">Bank loan (5%, 20 annual instalments)</t>
  </si>
  <si>
    <t xml:space="preserve">Record everything in the Journal first, then post to the T-Accounts. Mistakes are much easier to spot here than in the Ts.</t>
  </si>
  <si>
    <t xml:space="preserve">4b</t>
  </si>
  <si>
    <t xml:space="preserve">2019 – building 450,000 + management &amp; permits 150,000 + facilities 240,000 + installation 60,000</t>
  </si>
  <si>
    <t xml:space="preserve">Construction in progress (2019)</t>
  </si>
  <si>
    <t xml:space="preserve">4c</t>
  </si>
  <si>
    <t xml:space="preserve">Dec 2019 – interest 600,000 × 5% CAPITALIZED: 20,000 building + 10,000 facilities (2/3 – 1/3 of cost)</t>
  </si>
  <si>
    <t xml:space="preserve">O</t>
  </si>
  <si>
    <t xml:space="preserve">4d</t>
  </si>
  <si>
    <t xml:space="preserve">Dec 2019 – 1st loan instalment 600,000 / 20</t>
  </si>
  <si>
    <t xml:space="preserve">L−</t>
  </si>
  <si>
    <t xml:space="preserve">4e</t>
  </si>
  <si>
    <t xml:space="preserve">Jan 2020 – construction finished: building 450 + 150 + 20 interest = 620,000; facilities 240 + 60 + 10 interest = 310,000</t>
  </si>
  <si>
    <t xml:space="preserve">Machinery &amp; production facilities</t>
  </si>
  <si>
    <t xml:space="preserve">2020 – relocation 7,000 + transport insurance 1,000 → EXPENSE (staff 450 h × 20 = 9,000 already in salaries)</t>
  </si>
  <si>
    <t xml:space="preserve">P&amp;L – Relocation expenses</t>
  </si>
  <si>
    <t xml:space="preserve">Exp (OE−)</t>
  </si>
  <si>
    <t xml:space="preserve">2020 – special maintenance raising productivity 15% → improvement, CAPITALIZE</t>
  </si>
  <si>
    <t xml:space="preserve">7a</t>
  </si>
  <si>
    <t xml:space="preserve">2020 – new equipment 200,000 − 2% discount + 600 transport</t>
  </si>
  <si>
    <t xml:space="preserve">7b</t>
  </si>
  <si>
    <t xml:space="preserve">2020 – installation by own staff 100 h × (20 direct + 10 overhead) = 3,000; never the 15 profit</t>
  </si>
  <si>
    <t xml:space="preserve">Salaries were already expensed → move 3,000 out of the P&amp;L into the asset</t>
  </si>
  <si>
    <t xml:space="preserve">P&amp;L – Own work capitalized</t>
  </si>
  <si>
    <t xml:space="preserve">4f</t>
  </si>
  <si>
    <t xml:space="preserve">Dec 2020 – interest 570,000 × 5% → EXPENSE (building already in use)</t>
  </si>
  <si>
    <t xml:space="preserve">P&amp;L – Interest expense</t>
  </si>
  <si>
    <t xml:space="preserve">4g</t>
  </si>
  <si>
    <t xml:space="preserve">Dec 2020 – 2nd loan instalment</t>
  </si>
  <si>
    <t xml:space="preserve">4h</t>
  </si>
  <si>
    <t xml:space="preserve">Dec 2020 – depreciation: building 620,000 / 20 = 31,000; facilities 310,000 / 10 = 31,000</t>
  </si>
  <si>
    <t xml:space="preserve">P&amp;L – Depreciation expense</t>
  </si>
  <si>
    <t xml:space="preserve">Contra-A+</t>
  </si>
  <si>
    <t xml:space="preserve">Accum. depreciation – Machinery &amp; facilities</t>
  </si>
  <si>
    <t xml:space="preserve">8a</t>
  </si>
  <si>
    <t xml:space="preserve">Jan 2021 – patented molecule bought from Swedish company</t>
  </si>
  <si>
    <t xml:space="preserve">Patent – Baldnessox molecule</t>
  </si>
  <si>
    <t xml:space="preserve">8b</t>
  </si>
  <si>
    <t xml:space="preserve">2021 – DEVELOPMENT 10,000 h × 42 → capitalize (approved, commercialized)</t>
  </si>
  <si>
    <t xml:space="preserve">Development costs – Baldnessox</t>
  </si>
  <si>
    <t xml:space="preserve">Salaries were already expensed → move 420,000 out of the P&amp;L into the asset</t>
  </si>
  <si>
    <t xml:space="preserve">Jul–Dec 2021 – RESEARCH: external 224,000 → EXPENSE (17,000 h already in salaries)</t>
  </si>
  <si>
    <t xml:space="preserve">P&amp;L – Research expense</t>
  </si>
  <si>
    <t xml:space="preserve">Oct 2021 – brand value rose to 3,000,000 → internally generated brand: NO entry</t>
  </si>
  <si>
    <t xml:space="preserve">(no entry)</t>
  </si>
  <si>
    <t xml:space="preserve">4i</t>
  </si>
  <si>
    <t xml:space="preserve">Dec 2021 – interest 540,000 × 5%</t>
  </si>
  <si>
    <t xml:space="preserve">4j</t>
  </si>
  <si>
    <t xml:space="preserve">Dec 2021 – 3rd loan instalment</t>
  </si>
  <si>
    <t xml:space="preserve">4k</t>
  </si>
  <si>
    <t xml:space="preserve">Dec 2021 – depreciation: building 31,000; facilities 31,000 + improvement 40,000 / 10 = 4,000</t>
  </si>
  <si>
    <t xml:space="preserve">8c</t>
  </si>
  <si>
    <t xml:space="preserve">Dec 2021 – amortization, full year: 1,420,000 / 10 = 142,000</t>
  </si>
  <si>
    <t xml:space="preserve">P&amp;L – Amortization expense</t>
  </si>
  <si>
    <t xml:space="preserve">Accum. amortization &amp; impairment – intangibles</t>
  </si>
  <si>
    <t xml:space="preserve">Dec 2021 – impairment: book 1,278,000 vs recoverable 1,000,000 (higher of 1,000,000 VIU and 800,000 offer)</t>
  </si>
  <si>
    <t xml:space="preserve">P&amp;L – Impairment loss</t>
  </si>
  <si>
    <t xml:space="preserve">T-ACCOUNTS (general ledger)</t>
  </si>
  <si>
    <t xml:space="preserve">ASSETS  (uses of capital)</t>
  </si>
  <si>
    <t xml:space="preserve">OWNERS' EQUITY &amp; LIABILITIES  (sources of capital)</t>
  </si>
  <si>
    <t xml:space="preserve">How to post</t>
  </si>
  <si>
    <t xml:space="preserve">Marketable securities</t>
  </si>
  <si>
    <t xml:space="preserve">Accounts payable</t>
  </si>
  <si>
    <t xml:space="preserve">Salaries payable</t>
  </si>
  <si>
    <t xml:space="preserve">Write the amount on the correct side and the journal entry # in the grey column next to it, e.g. 1, 2, 3a, CE.</t>
  </si>
  <si>
    <t xml:space="preserve">Dr (+)</t>
  </si>
  <si>
    <t xml:space="preserve">Cr (−)</t>
  </si>
  <si>
    <t xml:space="preserve">Dr (−)</t>
  </si>
  <si>
    <t xml:space="preserve">Cr (+)</t>
  </si>
  <si>
    <t xml:space="preserve">BB = beginning balance (from last period's balance sheet). Leave empty for a new company.</t>
  </si>
  <si>
    <t xml:space="preserve">BB</t>
  </si>
  <si>
    <t xml:space="preserve">EB = ending balance. It is calculated for you and always sits on the account's normal side.</t>
  </si>
  <si>
    <t xml:space="preserve">Asset side (Uses of capital)</t>
  </si>
  <si>
    <t xml:space="preserve">Debit (+) increases, Credit (−) decreases. Normal balance is on the debit side.</t>
  </si>
  <si>
    <t xml:space="preserve">Liabilities &amp; OE side (Sources of capital)</t>
  </si>
  <si>
    <t xml:space="preserve">Debit (−) decreases, Credit (+) increases. Normal balance is on the credit side.</t>
  </si>
  <si>
    <t xml:space="preserve">Contra-assets (accumulated depreciation / amortization)</t>
  </si>
  <si>
    <t xml:space="preserve">They sit on the asset side but work like liabilities: depreciation goes on the CREDIT side. Net book value = cost − accumulated depreciation.</t>
  </si>
  <si>
    <t xml:space="preserve">Land is NEVER depreciated.</t>
  </si>
  <si>
    <t xml:space="preserve">P&amp;L (profit for the period)</t>
  </si>
  <si>
    <t xml:space="preserve">This is a temporary owners' equity account. Revenues and gains go on the credit side. Expenses and losses (COGS, salaries, rent used up, depreciation, interest, tax) go on the debit side.</t>
  </si>
  <si>
    <t xml:space="preserve">At the end: closing entry CE = Dr P&amp;L / Cr Retained profits for the net profit. Use # 'CE' so the Income Statement check can ignore it.</t>
  </si>
  <si>
    <t xml:space="preserve">Frequent traps</t>
  </si>
  <si>
    <t xml:space="preserve">A sale is TWO entries: (a) Dr Cash/A/R, Cr P&amp;L (revenue) and (b) Dr P&amp;L (COGS), Cr Inventory.</t>
  </si>
  <si>
    <t xml:space="preserve">Prepaid rent: paying for it is an asset (Dr Prepaid, Cr Cash). Only the part used up in the period is an expense (Dr P&amp;L, Cr Prepaid).</t>
  </si>
  <si>
    <t xml:space="preserve">Cash received before delivery is a liability: Deposits from customers.</t>
  </si>
  <si>
    <t xml:space="preserve">Buying on credit: Cr Accounts payable, not Cash. Paying later: Dr A/P, Cr Cash, with NO expense.</t>
  </si>
  <si>
    <t xml:space="preserve">Tot</t>
  </si>
  <si>
    <t xml:space="preserve">Accrued interest, salaries and tax not yet paid: Dr P&amp;L, Cr Interest/Salaries/Taxes payable.</t>
  </si>
  <si>
    <t xml:space="preserve">EB</t>
  </si>
  <si>
    <t xml:space="preserve">A loan repayment only reduces the loan (Dr Loan, Cr Cash). The interest part is an expense.</t>
  </si>
  <si>
    <t xml:space="preserve">A purchase financed by the seller or a mortgage: Dr Land/Building, Cr Mortgage/Obligations (and Cr Cash for any down payment).</t>
  </si>
  <si>
    <t xml:space="preserve">Accounts receivable</t>
  </si>
  <si>
    <t xml:space="preserve">Inventories</t>
  </si>
  <si>
    <t xml:space="preserve">Interest payable</t>
  </si>
  <si>
    <t xml:space="preserve">Taxes payable</t>
  </si>
  <si>
    <t xml:space="preserve">Dividends: Dr Retained profits, Cr Cash. They are never a P&amp;L expense.</t>
  </si>
  <si>
    <t xml:space="preserve">Share issue above par: Cr Share capital (par × shares) + Cr Share premium (the rest).</t>
  </si>
  <si>
    <t xml:space="preserve">Checks</t>
  </si>
  <si>
    <t xml:space="preserve">Below the T-accounts: total debits must equal total credits. On the Balance Sheet sheet: A = L + OE.</t>
  </si>
  <si>
    <t xml:space="preserve">Prepaid rent / prepaid expenses</t>
  </si>
  <si>
    <t xml:space="preserve">Deposits from customers (unearned rev.)</t>
  </si>
  <si>
    <t xml:space="preserve">Dividends payable</t>
  </si>
  <si>
    <t xml:space="preserve">Short-term loans / current portion LTD</t>
  </si>
  <si>
    <t xml:space="preserve">Mortgage / obligations on land &amp; bldgs</t>
  </si>
  <si>
    <t xml:space="preserve">Share capital</t>
  </si>
  <si>
    <t xml:space="preserve">Share premium</t>
  </si>
  <si>
    <t xml:space="preserve">Retained profits</t>
  </si>
  <si>
    <t xml:space="preserve">Profit &amp; loss for the period (P&amp;L)</t>
  </si>
  <si>
    <t xml:space="preserve">Dr: expenses</t>
  </si>
  <si>
    <t xml:space="preserve">Cr: revenues</t>
  </si>
  <si>
    <t xml:space="preserve">Total debits posted (excl. BB)</t>
  </si>
  <si>
    <t xml:space="preserve">Total credits posted (excl. BB)</t>
  </si>
  <si>
    <t xml:space="preserve">CHECK: debits = credits</t>
  </si>
  <si>
    <t xml:space="preserve">OE+</t>
  </si>
  <si>
    <t xml:space="preserve">OE−</t>
  </si>
</sst>
</file>

<file path=xl/styles.xml><?xml version="1.0" encoding="utf-8"?>
<styleSheet xmlns="http://schemas.openxmlformats.org/spreadsheetml/2006/main">
  <numFmts count="3">
    <numFmt numFmtId="164" formatCode="General"/>
    <numFmt numFmtId="165" formatCode="#,##0;\-#,##0;\-"/>
    <numFmt numFmtId="166" formatCode="#,##0;\-#,##0;\-"/>
  </numFmts>
  <fonts count="23">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0"/>
      <color rgb="FF000000"/>
      <name val="Arial"/>
      <family val="0"/>
      <charset val="1"/>
    </font>
    <font>
      <sz val="10"/>
      <color rgb="FF0000FF"/>
      <name val="Arial"/>
      <family val="0"/>
      <charset val="1"/>
    </font>
    <font>
      <i val="true"/>
      <sz val="9"/>
      <color rgb="FF000000"/>
      <name val="Arial"/>
      <family val="0"/>
      <charset val="1"/>
    </font>
    <font>
      <b val="true"/>
      <sz val="10"/>
      <color rgb="FFFFFFFF"/>
      <name val="Arial"/>
      <family val="0"/>
      <charset val="1"/>
    </font>
    <font>
      <sz val="10"/>
      <color rgb="FF000000"/>
      <name val="Arial"/>
      <family val="0"/>
      <charset val="1"/>
    </font>
    <font>
      <b val="true"/>
      <sz val="10"/>
      <color rgb="FF0000FF"/>
      <name val="Arial"/>
      <family val="0"/>
      <charset val="1"/>
    </font>
    <font>
      <b val="true"/>
      <sz val="10"/>
      <color rgb="FF006100"/>
      <name val="Arial"/>
      <family val="0"/>
      <charset val="1"/>
    </font>
    <font>
      <b val="true"/>
      <sz val="10"/>
      <color rgb="FF9C0006"/>
      <name val="Arial"/>
      <family val="0"/>
      <charset val="1"/>
    </font>
    <font>
      <i val="true"/>
      <sz val="10"/>
      <color rgb="FF000000"/>
      <name val="Arial"/>
      <family val="0"/>
      <charset val="1"/>
    </font>
    <font>
      <b val="true"/>
      <sz val="13"/>
      <color rgb="FFFFFFFF"/>
      <name val="Arial"/>
      <family val="0"/>
      <charset val="1"/>
    </font>
    <font>
      <b val="true"/>
      <sz val="11"/>
      <color rgb="FFFFFFFF"/>
      <name val="Arial"/>
      <family val="0"/>
      <charset val="1"/>
    </font>
    <font>
      <b val="true"/>
      <sz val="9"/>
      <name val="Arial"/>
      <family val="0"/>
      <charset val="1"/>
    </font>
    <font>
      <sz val="9"/>
      <name val="Arial"/>
      <family val="0"/>
      <charset val="1"/>
    </font>
    <font>
      <sz val="9"/>
      <color rgb="FF000000"/>
      <name val="Arial"/>
      <family val="0"/>
      <charset val="1"/>
    </font>
    <font>
      <b val="true"/>
      <sz val="9"/>
      <color rgb="FF000000"/>
      <name val="Arial"/>
      <family val="0"/>
      <charset val="1"/>
    </font>
    <font>
      <b val="true"/>
      <sz val="12"/>
      <color rgb="FFFFFFFF"/>
      <name val="Arial"/>
      <family val="0"/>
      <charset val="1"/>
    </font>
    <font>
      <b val="true"/>
      <sz val="8"/>
      <color rgb="FF000000"/>
      <name val="Arial"/>
      <family val="0"/>
      <charset val="1"/>
    </font>
    <font>
      <sz val="8"/>
      <color rgb="FF7F7F7F"/>
      <name val="Arial"/>
      <family val="0"/>
      <charset val="1"/>
    </font>
  </fonts>
  <fills count="22">
    <fill>
      <patternFill patternType="none"/>
    </fill>
    <fill>
      <patternFill patternType="gray125"/>
    </fill>
    <fill>
      <patternFill patternType="solid">
        <fgColor rgb="FF404040"/>
        <bgColor rgb="FF333300"/>
      </patternFill>
    </fill>
    <fill>
      <patternFill patternType="solid">
        <fgColor rgb="FFFFFF00"/>
        <bgColor rgb="FFFFE0B2"/>
      </patternFill>
    </fill>
    <fill>
      <patternFill patternType="solid">
        <fgColor rgb="FF595959"/>
        <bgColor rgb="FF404040"/>
      </patternFill>
    </fill>
    <fill>
      <patternFill patternType="solid">
        <fgColor rgb="FFD62E4E"/>
        <bgColor rgb="FF993366"/>
      </patternFill>
    </fill>
    <fill>
      <patternFill patternType="solid">
        <fgColor rgb="FFFFD7D7"/>
        <bgColor rgb="FFFFC7CE"/>
      </patternFill>
    </fill>
    <fill>
      <patternFill patternType="solid">
        <fgColor rgb="FF729FCF"/>
        <bgColor rgb="FF808080"/>
      </patternFill>
    </fill>
    <fill>
      <patternFill patternType="solid">
        <fgColor rgb="FFB4C7DC"/>
        <bgColor rgb="FFBFBFBF"/>
      </patternFill>
    </fill>
    <fill>
      <patternFill patternType="solid">
        <fgColor rgb="FFDDE8F3"/>
        <bgColor rgb="FFEDEDED"/>
      </patternFill>
    </fill>
    <fill>
      <patternFill patternType="solid">
        <fgColor rgb="FFFFF2CC"/>
        <bgColor rgb="FFFFFBEA"/>
      </patternFill>
    </fill>
    <fill>
      <patternFill patternType="solid">
        <fgColor rgb="FF2E7D32"/>
        <bgColor rgb="FF008080"/>
      </patternFill>
    </fill>
    <fill>
      <patternFill patternType="solid">
        <fgColor rgb="FF6A1B9A"/>
        <bgColor rgb="FF800080"/>
      </patternFill>
    </fill>
    <fill>
      <patternFill patternType="solid">
        <fgColor rgb="FFC6EFCE"/>
        <bgColor rgb="FFB2EBF2"/>
      </patternFill>
    </fill>
    <fill>
      <patternFill patternType="solid">
        <fgColor rgb="FFFFC7CE"/>
        <bgColor rgb="FFFFD7D7"/>
      </patternFill>
    </fill>
    <fill>
      <patternFill patternType="solid">
        <fgColor rgb="FFF2F2F2"/>
        <bgColor rgb="FFF7F7F7"/>
      </patternFill>
    </fill>
    <fill>
      <patternFill patternType="solid">
        <fgColor rgb="FFE1BEE7"/>
        <bgColor rgb="FFFFC7CE"/>
      </patternFill>
    </fill>
    <fill>
      <patternFill patternType="solid">
        <fgColor rgb="FFFFE0B2"/>
        <bgColor rgb="FFFFD7D7"/>
      </patternFill>
    </fill>
    <fill>
      <patternFill patternType="solid">
        <fgColor rgb="FFB2EBF2"/>
        <bgColor rgb="FFC6EFCE"/>
      </patternFill>
    </fill>
    <fill>
      <patternFill patternType="solid">
        <fgColor rgb="FFF7F7F7"/>
        <bgColor rgb="FFF2F2F2"/>
      </patternFill>
    </fill>
    <fill>
      <patternFill patternType="solid">
        <fgColor rgb="FFFFFBEA"/>
        <bgColor rgb="FFF7F7F7"/>
      </patternFill>
    </fill>
    <fill>
      <patternFill patternType="solid">
        <fgColor rgb="FFEDEDED"/>
        <bgColor rgb="FFF2F2F2"/>
      </patternFill>
    </fill>
  </fills>
  <borders count="10">
    <border diagonalUp="false" diagonalDown="false">
      <left/>
      <right/>
      <top/>
      <bottom/>
      <diagonal/>
    </border>
    <border diagonalUp="false" diagonalDown="false">
      <left/>
      <right/>
      <top/>
      <bottom style="thin"/>
      <diagonal/>
    </border>
    <border diagonalUp="false" diagonalDown="false">
      <left/>
      <right/>
      <top style="thin"/>
      <bottom/>
      <diagonal/>
    </border>
    <border diagonalUp="false" diagonalDown="false">
      <left/>
      <right/>
      <top/>
      <bottom style="thin">
        <color rgb="FFBFBFBF"/>
      </bottom>
      <diagonal/>
    </border>
    <border diagonalUp="false" diagonalDown="false">
      <left/>
      <right/>
      <top/>
      <bottom style="medium"/>
      <diagonal/>
    </border>
    <border diagonalUp="false" diagonalDown="false">
      <left/>
      <right style="medium"/>
      <top/>
      <bottom style="medium"/>
      <diagonal/>
    </border>
    <border diagonalUp="false" diagonalDown="false">
      <left/>
      <right style="medium"/>
      <top/>
      <bottom style="thin">
        <color rgb="FFBFBFBF"/>
      </bottom>
      <diagonal/>
    </border>
    <border diagonalUp="false" diagonalDown="false">
      <left/>
      <right style="medium"/>
      <top style="thin"/>
      <bottom/>
      <diagonal/>
    </border>
    <border diagonalUp="false" diagonalDown="false">
      <left/>
      <right style="medium"/>
      <top style="thin"/>
      <bottom style="medium"/>
      <diagonal/>
    </border>
    <border diagonalUp="false" diagonalDown="false">
      <left/>
      <right/>
      <top style="thin"/>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3"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4" borderId="0" xfId="0" applyFont="true" applyBorder="true" applyAlignment="true" applyProtection="false">
      <alignment horizontal="left" vertical="center" textRotation="0" wrapText="false" indent="0" shrinkToFit="false"/>
      <protection locked="true" hidden="false"/>
    </xf>
    <xf numFmtId="164" fontId="9" fillId="0" borderId="0" xfId="0" applyFont="true" applyBorder="true" applyAlignment="true" applyProtection="false">
      <alignment horizontal="left" vertical="center" textRotation="0" wrapText="true" indent="0" shrinkToFit="false"/>
      <protection locked="true" hidden="false"/>
    </xf>
    <xf numFmtId="164" fontId="10" fillId="0" borderId="0" xfId="0" applyFont="true" applyBorder="false" applyAlignment="true" applyProtection="false">
      <alignment horizontal="center" vertical="center" textRotation="0" wrapText="false" indent="0" shrinkToFit="false"/>
      <protection locked="true" hidden="false"/>
    </xf>
    <xf numFmtId="164" fontId="9" fillId="0"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false" applyAlignment="true" applyProtection="false">
      <alignment horizontal="center" vertical="center" textRotation="0" wrapText="false" indent="0" shrinkToFit="false"/>
      <protection locked="true" hidden="false"/>
    </xf>
    <xf numFmtId="164" fontId="8" fillId="5" borderId="0" xfId="0" applyFont="true" applyBorder="false" applyAlignment="true" applyProtection="false">
      <alignment horizontal="center" vertical="center" textRotation="0" wrapText="false" indent="0" shrinkToFit="false"/>
      <protection locked="true" hidden="false"/>
    </xf>
    <xf numFmtId="164" fontId="5" fillId="6" borderId="0" xfId="0" applyFont="true" applyBorder="false" applyAlignment="true" applyProtection="false">
      <alignment horizontal="center" vertical="center" textRotation="0" wrapText="false" indent="0" shrinkToFit="false"/>
      <protection locked="true" hidden="false"/>
    </xf>
    <xf numFmtId="164" fontId="8" fillId="7" borderId="0" xfId="0" applyFont="true" applyBorder="false" applyAlignment="true" applyProtection="false">
      <alignment horizontal="center" vertical="center" textRotation="0" wrapText="false" indent="0" shrinkToFit="false"/>
      <protection locked="true" hidden="false"/>
    </xf>
    <xf numFmtId="164" fontId="5" fillId="8" borderId="0" xfId="0" applyFont="true" applyBorder="false" applyAlignment="true" applyProtection="false">
      <alignment horizontal="center" vertical="center" textRotation="0" wrapText="false" indent="0" shrinkToFit="false"/>
      <protection locked="true" hidden="false"/>
    </xf>
    <xf numFmtId="164" fontId="5" fillId="9" borderId="0" xfId="0" applyFont="true" applyBorder="false" applyAlignment="true" applyProtection="false">
      <alignment horizontal="center" vertical="center" textRotation="0" wrapText="false" indent="0" shrinkToFit="false"/>
      <protection locked="true" hidden="false"/>
    </xf>
    <xf numFmtId="164" fontId="5" fillId="10" borderId="0" xfId="0" applyFont="true" applyBorder="false" applyAlignment="true" applyProtection="false">
      <alignment horizontal="center" vertical="center" textRotation="0" wrapText="false" indent="0" shrinkToFit="false"/>
      <protection locked="true" hidden="false"/>
    </xf>
    <xf numFmtId="164" fontId="8" fillId="11" borderId="0" xfId="0" applyFont="true" applyBorder="false" applyAlignment="true" applyProtection="false">
      <alignment horizontal="center" vertical="center" textRotation="0" wrapText="false" indent="0" shrinkToFit="false"/>
      <protection locked="true" hidden="false"/>
    </xf>
    <xf numFmtId="164" fontId="8" fillId="12" borderId="0" xfId="0" applyFont="true" applyBorder="false" applyAlignment="true" applyProtection="false">
      <alignment horizontal="center" vertical="center" textRotation="0" wrapText="false" indent="0" shrinkToFit="false"/>
      <protection locked="true" hidden="false"/>
    </xf>
    <xf numFmtId="164" fontId="11" fillId="13" borderId="0" xfId="0" applyFont="true" applyBorder="false" applyAlignment="true" applyProtection="false">
      <alignment horizontal="center" vertical="center" textRotation="0" wrapText="false" indent="0" shrinkToFit="false"/>
      <protection locked="true" hidden="false"/>
    </xf>
    <xf numFmtId="164" fontId="12" fillId="14" borderId="0" xfId="0" applyFont="true" applyBorder="false" applyAlignment="true" applyProtection="false">
      <alignment horizontal="center" vertical="center" textRotation="0" wrapText="false" indent="0" shrinkToFit="false"/>
      <protection locked="true" hidden="false"/>
    </xf>
    <xf numFmtId="164" fontId="5" fillId="15" borderId="1"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true" applyAlignment="true" applyProtection="false">
      <alignment horizontal="left" vertical="center" textRotation="0" wrapText="false" indent="0" shrinkToFit="false"/>
      <protection locked="true" hidden="false"/>
    </xf>
    <xf numFmtId="165" fontId="6" fillId="0" borderId="0" xfId="0" applyFont="true" applyBorder="false" applyAlignment="true" applyProtection="false">
      <alignment horizontal="general" vertical="bottom" textRotation="0" wrapText="false" indent="0" shrinkToFit="false"/>
      <protection locked="true" hidden="false"/>
    </xf>
    <xf numFmtId="164" fontId="5" fillId="16" borderId="0" xfId="0" applyFont="true" applyBorder="false" applyAlignment="true" applyProtection="false">
      <alignment horizontal="general" vertical="bottom" textRotation="0" wrapText="false" indent="0" shrinkToFit="false"/>
      <protection locked="true" hidden="false"/>
    </xf>
    <xf numFmtId="164" fontId="5" fillId="17" borderId="0" xfId="0" applyFont="true" applyBorder="false" applyAlignment="true" applyProtection="false">
      <alignment horizontal="general" vertical="bottom" textRotation="0" wrapText="false" indent="0" shrinkToFit="false"/>
      <protection locked="true" hidden="false"/>
    </xf>
    <xf numFmtId="164" fontId="5" fillId="18" borderId="0" xfId="0" applyFont="true" applyBorder="false" applyAlignment="true" applyProtection="false">
      <alignment horizontal="general" vertical="bottom" textRotation="0" wrapText="false" indent="0" shrinkToFit="false"/>
      <protection locked="true" hidden="false"/>
    </xf>
    <xf numFmtId="164" fontId="5" fillId="15" borderId="0" xfId="0" applyFont="true" applyBorder="false" applyAlignment="true" applyProtection="false">
      <alignment horizontal="general" vertical="bottom" textRotation="0" wrapText="false" indent="0" shrinkToFit="false"/>
      <protection locked="true" hidden="false"/>
    </xf>
    <xf numFmtId="164" fontId="14" fillId="2" borderId="0" xfId="0" applyFont="true" applyBorder="true" applyAlignment="false" applyProtection="false">
      <alignment horizontal="general" vertical="bottom" textRotation="0" wrapText="false" indent="0" shrinkToFit="false"/>
      <protection locked="true" hidden="false"/>
    </xf>
    <xf numFmtId="164" fontId="15" fillId="4"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top" textRotation="0" wrapText="true" indent="0" shrinkToFit="false"/>
      <protection locked="true" hidden="false"/>
    </xf>
    <xf numFmtId="164" fontId="17" fillId="0" borderId="0" xfId="0" applyFont="true" applyBorder="false" applyAlignment="true" applyProtection="false">
      <alignment horizontal="general" vertical="top" textRotation="0" wrapText="true" indent="0" shrinkToFit="false"/>
      <protection locked="true" hidden="false"/>
    </xf>
    <xf numFmtId="166" fontId="17" fillId="0" borderId="0" xfId="0" applyFont="true" applyBorder="false" applyAlignment="true" applyProtection="false">
      <alignment horizontal="general" vertical="top" textRotation="0" wrapText="true" indent="0" shrinkToFit="false"/>
      <protection locked="true" hidden="false"/>
    </xf>
    <xf numFmtId="164" fontId="8" fillId="4" borderId="0" xfId="0" applyFont="true" applyBorder="true" applyAlignment="false" applyProtection="false">
      <alignment horizontal="general" vertical="bottom" textRotation="0" wrapText="false" indent="0" shrinkToFit="false"/>
      <protection locked="true" hidden="false"/>
    </xf>
    <xf numFmtId="164" fontId="16" fillId="15"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6" fontId="17"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6" fontId="16" fillId="0" borderId="2" xfId="0" applyFont="true" applyBorder="true" applyAlignment="false" applyProtection="false">
      <alignment horizontal="general" vertical="bottom" textRotation="0" wrapText="false" indent="0" shrinkToFit="false"/>
      <protection locked="true" hidden="false"/>
    </xf>
    <xf numFmtId="164" fontId="17" fillId="0"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right" vertical="center" textRotation="0" wrapText="false" indent="0" shrinkToFit="false"/>
      <protection locked="true" hidden="false"/>
    </xf>
    <xf numFmtId="165" fontId="5"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center" vertical="center" textRotation="0" wrapText="false" indent="0" shrinkToFit="false"/>
      <protection locked="true" hidden="false"/>
    </xf>
    <xf numFmtId="164" fontId="8" fillId="4" borderId="0" xfId="0" applyFont="true" applyBorder="false" applyAlignment="true" applyProtection="false">
      <alignment horizontal="center" vertical="center" textRotation="0" wrapText="false" indent="0" shrinkToFit="false"/>
      <protection locked="true" hidden="false"/>
    </xf>
    <xf numFmtId="164" fontId="8" fillId="4" borderId="0" xfId="0" applyFont="true" applyBorder="false" applyAlignment="true" applyProtection="false">
      <alignment horizontal="general" vertical="bottom" textRotation="0" wrapText="false" indent="0" shrinkToFit="false"/>
      <protection locked="true" hidden="false"/>
    </xf>
    <xf numFmtId="164" fontId="6" fillId="19" borderId="3" xfId="0" applyFont="true" applyBorder="true" applyAlignment="true" applyProtection="false">
      <alignment horizontal="center" vertical="center" textRotation="0" wrapText="false" indent="0" shrinkToFit="false"/>
      <protection locked="true" hidden="false"/>
    </xf>
    <xf numFmtId="164" fontId="6" fillId="19" borderId="3" xfId="0" applyFont="true" applyBorder="true" applyAlignment="true" applyProtection="false">
      <alignment horizontal="general" vertical="bottom" textRotation="0" wrapText="false" indent="0" shrinkToFit="false"/>
      <protection locked="true" hidden="false"/>
    </xf>
    <xf numFmtId="165" fontId="6" fillId="19" borderId="3" xfId="0" applyFont="true" applyBorder="true" applyAlignment="true" applyProtection="false">
      <alignment horizontal="general" vertical="bottom" textRotation="0" wrapText="false" indent="0" shrinkToFit="false"/>
      <protection locked="true" hidden="false"/>
    </xf>
    <xf numFmtId="164" fontId="18" fillId="0" borderId="3" xfId="0" applyFont="true" applyBorder="true" applyAlignment="true" applyProtection="false">
      <alignment horizontal="center" vertical="center" textRotation="0" wrapText="false" indent="0" shrinkToFit="false"/>
      <protection locked="true" hidden="false"/>
    </xf>
    <xf numFmtId="164" fontId="19" fillId="20" borderId="0" xfId="0" applyFont="true" applyBorder="false" applyAlignment="true" applyProtection="false">
      <alignment horizontal="general" vertical="center" textRotation="0" wrapText="true" indent="0" shrinkToFit="false"/>
      <protection locked="true" hidden="false"/>
    </xf>
    <xf numFmtId="164" fontId="6" fillId="0" borderId="3" xfId="0" applyFont="true" applyBorder="true" applyAlignment="true" applyProtection="false">
      <alignment horizontal="center" vertical="center" textRotation="0" wrapText="false" indent="0" shrinkToFit="false"/>
      <protection locked="true" hidden="false"/>
    </xf>
    <xf numFmtId="164" fontId="6" fillId="0" borderId="3" xfId="0" applyFont="true" applyBorder="true" applyAlignment="true" applyProtection="false">
      <alignment horizontal="general" vertical="bottom" textRotation="0" wrapText="false" indent="0" shrinkToFit="false"/>
      <protection locked="true" hidden="false"/>
    </xf>
    <xf numFmtId="165" fontId="6" fillId="0" borderId="3" xfId="0" applyFont="true" applyBorder="true" applyAlignment="true" applyProtection="false">
      <alignment horizontal="general" vertical="bottom" textRotation="0" wrapText="false" indent="0" shrinkToFit="false"/>
      <protection locked="true" hidden="false"/>
    </xf>
    <xf numFmtId="164" fontId="18" fillId="20" borderId="0" xfId="0" applyFont="true" applyBorder="false" applyAlignment="true" applyProtection="false">
      <alignment horizontal="general" vertical="center" textRotation="0" wrapText="true" indent="0" shrinkToFit="false"/>
      <protection locked="true" hidden="false"/>
    </xf>
    <xf numFmtId="164" fontId="20" fillId="5" borderId="0" xfId="0" applyFont="true" applyBorder="true" applyAlignment="true" applyProtection="false">
      <alignment horizontal="center" vertical="center" textRotation="0" wrapText="false" indent="0" shrinkToFit="false"/>
      <protection locked="true" hidden="false"/>
    </xf>
    <xf numFmtId="164" fontId="20" fillId="7" borderId="0" xfId="0" applyFont="true" applyBorder="true" applyAlignment="true" applyProtection="false">
      <alignment horizontal="center" vertical="center" textRotation="0" wrapText="false" indent="0" shrinkToFit="false"/>
      <protection locked="true" hidden="false"/>
    </xf>
    <xf numFmtId="164" fontId="5" fillId="6" borderId="0" xfId="0" applyFont="true" applyBorder="true" applyAlignment="true" applyProtection="false">
      <alignment horizontal="center" vertical="center" textRotation="0" wrapText="false" indent="0" shrinkToFit="false"/>
      <protection locked="true" hidden="false"/>
    </xf>
    <xf numFmtId="164" fontId="5" fillId="8" borderId="0" xfId="0" applyFont="true" applyBorder="true" applyAlignment="true" applyProtection="false">
      <alignment horizontal="center" vertical="center" textRotation="0" wrapText="false" indent="0" shrinkToFit="false"/>
      <protection locked="true" hidden="false"/>
    </xf>
    <xf numFmtId="164" fontId="21" fillId="0" borderId="4" xfId="0" applyFont="true" applyBorder="true" applyAlignment="true" applyProtection="false">
      <alignment horizontal="center" vertical="center" textRotation="0" wrapText="false" indent="0" shrinkToFit="false"/>
      <protection locked="true" hidden="false"/>
    </xf>
    <xf numFmtId="164" fontId="21" fillId="0" borderId="5" xfId="0" applyFont="true" applyBorder="true" applyAlignment="true" applyProtection="false">
      <alignment horizontal="center" vertical="center" textRotation="0" wrapText="false" indent="0" shrinkToFit="false"/>
      <protection locked="true" hidden="false"/>
    </xf>
    <xf numFmtId="164" fontId="21" fillId="21" borderId="3" xfId="0" applyFont="true" applyBorder="true" applyAlignment="true" applyProtection="false">
      <alignment horizontal="center" vertical="center" textRotation="0" wrapText="false" indent="0" shrinkToFit="false"/>
      <protection locked="true" hidden="false"/>
    </xf>
    <xf numFmtId="165" fontId="6" fillId="21" borderId="6" xfId="0" applyFont="true" applyBorder="true" applyAlignment="true" applyProtection="false">
      <alignment horizontal="general" vertical="bottom" textRotation="0" wrapText="false" indent="0" shrinkToFit="false"/>
      <protection locked="true" hidden="false"/>
    </xf>
    <xf numFmtId="165" fontId="6" fillId="21" borderId="3" xfId="0" applyFont="true" applyBorder="true" applyAlignment="true" applyProtection="false">
      <alignment horizontal="general" vertical="bottom" textRotation="0" wrapText="false" indent="0" shrinkToFit="false"/>
      <protection locked="true" hidden="false"/>
    </xf>
    <xf numFmtId="164" fontId="22" fillId="15" borderId="3" xfId="0" applyFont="true" applyBorder="true" applyAlignment="true" applyProtection="false">
      <alignment horizontal="center" vertical="center" textRotation="0" wrapText="false" indent="0" shrinkToFit="false"/>
      <protection locked="true" hidden="false"/>
    </xf>
    <xf numFmtId="165" fontId="6" fillId="0" borderId="6" xfId="0" applyFont="true" applyBorder="true" applyAlignment="true" applyProtection="false">
      <alignment horizontal="general" vertical="bottom" textRotation="0" wrapText="false" indent="0" shrinkToFit="false"/>
      <protection locked="true" hidden="false"/>
    </xf>
    <xf numFmtId="164" fontId="21" fillId="0" borderId="2" xfId="0" applyFont="true" applyBorder="true" applyAlignment="true" applyProtection="false">
      <alignment horizontal="center" vertical="center" textRotation="0" wrapText="false" indent="0" shrinkToFit="false"/>
      <protection locked="true" hidden="false"/>
    </xf>
    <xf numFmtId="165" fontId="5" fillId="0" borderId="7" xfId="0" applyFont="true" applyBorder="true" applyAlignment="true" applyProtection="false">
      <alignment horizontal="general" vertical="bottom" textRotation="0" wrapText="false" indent="0" shrinkToFit="false"/>
      <protection locked="true" hidden="false"/>
    </xf>
    <xf numFmtId="165" fontId="5" fillId="0" borderId="2" xfId="0" applyFont="true" applyBorder="true" applyAlignment="true" applyProtection="false">
      <alignment horizontal="general" vertical="bottom" textRotation="0" wrapText="false" indent="0" shrinkToFit="false"/>
      <protection locked="true" hidden="false"/>
    </xf>
    <xf numFmtId="164" fontId="21" fillId="6" borderId="0" xfId="0" applyFont="true" applyBorder="false" applyAlignment="true" applyProtection="false">
      <alignment horizontal="center" vertical="center" textRotation="0" wrapText="false" indent="0" shrinkToFit="false"/>
      <protection locked="true" hidden="false"/>
    </xf>
    <xf numFmtId="165" fontId="5" fillId="6" borderId="8" xfId="0" applyFont="true" applyBorder="true" applyAlignment="true" applyProtection="false">
      <alignment horizontal="general" vertical="bottom" textRotation="0" wrapText="false" indent="0" shrinkToFit="false"/>
      <protection locked="true" hidden="false"/>
    </xf>
    <xf numFmtId="164" fontId="0" fillId="0" borderId="2" xfId="0" applyFont="false" applyBorder="true" applyAlignment="true" applyProtection="false">
      <alignment horizontal="general" vertical="bottom" textRotation="0" wrapText="false" indent="0" shrinkToFit="false"/>
      <protection locked="true" hidden="false"/>
    </xf>
    <xf numFmtId="164" fontId="0" fillId="0" borderId="7" xfId="0" applyFont="false" applyBorder="true" applyAlignment="true" applyProtection="false">
      <alignment horizontal="general" vertical="bottom" textRotation="0" wrapText="false" indent="0" shrinkToFit="false"/>
      <protection locked="true" hidden="false"/>
    </xf>
    <xf numFmtId="165" fontId="5" fillId="8" borderId="9" xfId="0" applyFont="true" applyBorder="true" applyAlignment="true" applyProtection="false">
      <alignment horizontal="general" vertical="bottom" textRotation="0" wrapText="false" indent="0" shrinkToFit="false"/>
      <protection locked="true" hidden="false"/>
    </xf>
    <xf numFmtId="164" fontId="21" fillId="8" borderId="0" xfId="0" applyFont="true" applyBorder="false" applyAlignment="true" applyProtection="false">
      <alignment horizontal="center" vertical="center" textRotation="0" wrapText="false" indent="0" shrinkToFit="false"/>
      <protection locked="true" hidden="false"/>
    </xf>
    <xf numFmtId="165" fontId="5" fillId="6" borderId="9" xfId="0" applyFont="true" applyBorder="true" applyAlignment="true" applyProtection="false">
      <alignment horizontal="general" vertical="bottom" textRotation="0" wrapText="false" indent="0" shrinkToFit="false"/>
      <protection locked="true" hidden="false"/>
    </xf>
    <xf numFmtId="164" fontId="5" fillId="9" borderId="0" xfId="0" applyFont="true" applyBorder="true" applyAlignment="true" applyProtection="false">
      <alignment horizontal="center" vertical="center" textRotation="0" wrapText="false" indent="0" shrinkToFit="false"/>
      <protection locked="true" hidden="false"/>
    </xf>
    <xf numFmtId="165" fontId="5" fillId="9" borderId="9" xfId="0" applyFont="true" applyBorder="true" applyAlignment="true" applyProtection="false">
      <alignment horizontal="general" vertical="bottom" textRotation="0" wrapText="false" indent="0" shrinkToFit="false"/>
      <protection locked="true" hidden="false"/>
    </xf>
    <xf numFmtId="164" fontId="21" fillId="9" borderId="0" xfId="0" applyFont="true" applyBorder="false" applyAlignment="true" applyProtection="false">
      <alignment horizontal="center" vertical="center" textRotation="0" wrapText="false" indent="0" shrinkToFit="false"/>
      <protection locked="true" hidden="false"/>
    </xf>
    <xf numFmtId="164" fontId="5" fillId="10" borderId="0" xfId="0" applyFont="true" applyBorder="true" applyAlignment="true" applyProtection="false">
      <alignment horizontal="center" vertical="center" textRotation="0" wrapText="false" indent="0" shrinkToFit="false"/>
      <protection locked="true" hidden="false"/>
    </xf>
    <xf numFmtId="165" fontId="5" fillId="10" borderId="9" xfId="0" applyFont="true" applyBorder="true" applyAlignment="true" applyProtection="false">
      <alignment horizontal="general" vertical="bottom" textRotation="0" wrapText="false" indent="0" shrinkToFit="false"/>
      <protection locked="true" hidden="false"/>
    </xf>
    <xf numFmtId="164" fontId="21" fillId="10" borderId="0" xfId="0" applyFont="true" applyBorder="false" applyAlignment="true" applyProtection="false">
      <alignment horizontal="center" vertical="center" textRotation="0" wrapText="false" indent="0" shrinkToFit="false"/>
      <protection locked="true" hidden="false"/>
    </xf>
    <xf numFmtId="164" fontId="5" fillId="15" borderId="0" xfId="0" applyFont="true" applyBorder="true" applyAlignment="true" applyProtection="false">
      <alignment horizontal="right" vertical="center" textRotation="0" wrapText="false" indent="0" shrinkToFit="false"/>
      <protection locked="true" hidden="false"/>
    </xf>
    <xf numFmtId="165" fontId="5" fillId="0" borderId="0"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ont>
        <name val="Arial"/>
        <charset val="1"/>
        <family val="0"/>
        <b val="1"/>
        <color rgb="FF006100"/>
      </font>
      <fill>
        <patternFill>
          <bgColor rgb="FFC6EFCE"/>
        </patternFill>
      </fill>
    </dxf>
    <dxf>
      <font>
        <name val="Arial"/>
        <charset val="1"/>
        <family val="0"/>
        <b val="1"/>
        <color rgb="FF9C0006"/>
      </font>
      <fill>
        <patternFill>
          <bgColor rgb="FFFFC7CE"/>
        </patternFill>
      </fill>
    </dxf>
  </dxfs>
  <colors>
    <indexedColors>
      <rgbColor rgb="FF000000"/>
      <rgbColor rgb="FFFFFFFF"/>
      <rgbColor rgb="FFC00000"/>
      <rgbColor rgb="FF00FF00"/>
      <rgbColor rgb="FF0000FF"/>
      <rgbColor rgb="FFFFFF00"/>
      <rgbColor rgb="FFFF00FF"/>
      <rgbColor rgb="FF00FFFF"/>
      <rgbColor rgb="FF9C0006"/>
      <rgbColor rgb="FF006100"/>
      <rgbColor rgb="FF000080"/>
      <rgbColor rgb="FF808000"/>
      <rgbColor rgb="FF6A1B9A"/>
      <rgbColor rgb="FF008080"/>
      <rgbColor rgb="FFBFBFBF"/>
      <rgbColor rgb="FF808080"/>
      <rgbColor rgb="FF729FCF"/>
      <rgbColor rgb="FFD62E4E"/>
      <rgbColor rgb="FFFFF2CC"/>
      <rgbColor rgb="FFDDE8F3"/>
      <rgbColor rgb="FF660066"/>
      <rgbColor rgb="FFF7F7F7"/>
      <rgbColor rgb="FF0066CC"/>
      <rgbColor rgb="FFE1BEE7"/>
      <rgbColor rgb="FF000080"/>
      <rgbColor rgb="FFFF00FF"/>
      <rgbColor rgb="FFEDEDED"/>
      <rgbColor rgb="FF00FFFF"/>
      <rgbColor rgb="FF800080"/>
      <rgbColor rgb="FF800000"/>
      <rgbColor rgb="FF008080"/>
      <rgbColor rgb="FF0000FF"/>
      <rgbColor rgb="FF00CCFF"/>
      <rgbColor rgb="FFB2EBF2"/>
      <rgbColor rgb="FFC6EFCE"/>
      <rgbColor rgb="FFFFFBEA"/>
      <rgbColor rgb="FFB4C7DC"/>
      <rgbColor rgb="FFFFC7CE"/>
      <rgbColor rgb="FFFFD7D7"/>
      <rgbColor rgb="FFFFE0B2"/>
      <rgbColor rgb="FF3366FF"/>
      <rgbColor rgb="FF33CCCC"/>
      <rgbColor rgb="FF99CC00"/>
      <rgbColor rgb="FFF2F2F2"/>
      <rgbColor rgb="FFFF9900"/>
      <rgbColor rgb="FFFF6600"/>
      <rgbColor rgb="FF595959"/>
      <rgbColor rgb="FF7F7F7F"/>
      <rgbColor rgb="FF003366"/>
      <rgbColor rgb="FF2E7D32"/>
      <rgbColor rgb="FF003300"/>
      <rgbColor rgb="FF333300"/>
      <rgbColor rgb="FF9933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04040"/>
    <pageSetUpPr fitToPage="true"/>
  </sheetPr>
  <dimension ref="B1:F6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2"/>
    <col collapsed="false" customWidth="true" hidden="false" outlineLevel="0" max="2" min="2" style="1" width="34"/>
    <col collapsed="false" customWidth="true" hidden="false" outlineLevel="0" max="5" min="3" style="1" width="20"/>
    <col collapsed="false" customWidth="true" hidden="false" outlineLevel="0" max="6" min="6" style="1" width="30"/>
    <col collapsed="false" customWidth="true" hidden="false" outlineLevel="0" max="7" min="7" style="1" width="2"/>
  </cols>
  <sheetData>
    <row r="1" customFormat="false" ht="17.25" hidden="false" customHeight="true" outlineLevel="0" collapsed="false">
      <c r="B1" s="2" t="s">
        <v>0</v>
      </c>
      <c r="C1" s="2"/>
      <c r="D1" s="2"/>
      <c r="E1" s="2"/>
      <c r="F1" s="2"/>
    </row>
    <row r="3" customFormat="false" ht="15" hidden="false" customHeight="true" outlineLevel="0" collapsed="false">
      <c r="B3" s="3" t="s">
        <v>1</v>
      </c>
      <c r="C3" s="4" t="s">
        <v>2</v>
      </c>
      <c r="D3" s="5" t="s">
        <v>3</v>
      </c>
    </row>
    <row r="4" customFormat="false" ht="15" hidden="false" customHeight="true" outlineLevel="0" collapsed="false">
      <c r="B4" s="3" t="s">
        <v>4</v>
      </c>
      <c r="C4" s="4" t="s">
        <v>5</v>
      </c>
    </row>
    <row r="5" customFormat="false" ht="15" hidden="false" customHeight="true" outlineLevel="0" collapsed="false">
      <c r="B5" s="3" t="s">
        <v>6</v>
      </c>
      <c r="C5" s="4" t="s">
        <v>7</v>
      </c>
    </row>
    <row r="7" customFormat="false" ht="15" hidden="false" customHeight="true" outlineLevel="0" collapsed="false">
      <c r="B7" s="6" t="s">
        <v>8</v>
      </c>
      <c r="C7" s="6"/>
      <c r="D7" s="6"/>
      <c r="E7" s="6"/>
      <c r="F7" s="6"/>
    </row>
    <row r="8" customFormat="false" ht="25.5" hidden="false" customHeight="true" outlineLevel="0" collapsed="false">
      <c r="B8" s="7" t="s">
        <v>9</v>
      </c>
      <c r="C8" s="7"/>
      <c r="D8" s="7"/>
      <c r="E8" s="7"/>
      <c r="F8" s="7"/>
    </row>
    <row r="9" customFormat="false" ht="25.5" hidden="false" customHeight="true" outlineLevel="0" collapsed="false">
      <c r="B9" s="7" t="s">
        <v>10</v>
      </c>
      <c r="C9" s="7"/>
      <c r="D9" s="7"/>
      <c r="E9" s="7"/>
      <c r="F9" s="7"/>
    </row>
    <row r="10" customFormat="false" ht="25.5" hidden="false" customHeight="true" outlineLevel="0" collapsed="false">
      <c r="B10" s="7" t="s">
        <v>11</v>
      </c>
      <c r="C10" s="7"/>
      <c r="D10" s="7"/>
      <c r="E10" s="7"/>
      <c r="F10" s="7"/>
    </row>
    <row r="11" customFormat="false" ht="25.5" hidden="false" customHeight="true" outlineLevel="0" collapsed="false">
      <c r="B11" s="7" t="s">
        <v>12</v>
      </c>
      <c r="C11" s="7"/>
      <c r="D11" s="7"/>
      <c r="E11" s="7"/>
      <c r="F11" s="7"/>
    </row>
    <row r="12" customFormat="false" ht="25.5" hidden="false" customHeight="true" outlineLevel="0" collapsed="false">
      <c r="B12" s="7" t="s">
        <v>13</v>
      </c>
      <c r="C12" s="7"/>
      <c r="D12" s="7"/>
      <c r="E12" s="7"/>
      <c r="F12" s="7"/>
    </row>
    <row r="13" customFormat="false" ht="25.5" hidden="false" customHeight="true" outlineLevel="0" collapsed="false">
      <c r="B13" s="7" t="s">
        <v>14</v>
      </c>
      <c r="C13" s="7"/>
      <c r="D13" s="7"/>
      <c r="E13" s="7"/>
      <c r="F13" s="7"/>
    </row>
    <row r="14" customFormat="false" ht="25.5" hidden="false" customHeight="true" outlineLevel="0" collapsed="false">
      <c r="B14" s="7" t="s">
        <v>15</v>
      </c>
      <c r="C14" s="7"/>
      <c r="D14" s="7"/>
      <c r="E14" s="7"/>
      <c r="F14" s="7"/>
    </row>
    <row r="16" customFormat="false" ht="15" hidden="false" customHeight="true" outlineLevel="0" collapsed="false">
      <c r="B16" s="6" t="s">
        <v>16</v>
      </c>
      <c r="C16" s="6"/>
      <c r="D16" s="6"/>
      <c r="E16" s="6"/>
      <c r="F16" s="6"/>
    </row>
    <row r="17" customFormat="false" ht="15" hidden="false" customHeight="true" outlineLevel="0" collapsed="false">
      <c r="B17" s="8" t="s">
        <v>17</v>
      </c>
      <c r="C17" s="9" t="s">
        <v>18</v>
      </c>
      <c r="D17" s="9"/>
      <c r="E17" s="9"/>
      <c r="F17" s="9"/>
    </row>
    <row r="18" customFormat="false" ht="15" hidden="false" customHeight="true" outlineLevel="0" collapsed="false">
      <c r="B18" s="10" t="s">
        <v>17</v>
      </c>
      <c r="C18" s="9" t="s">
        <v>19</v>
      </c>
      <c r="D18" s="9"/>
      <c r="E18" s="9"/>
      <c r="F18" s="9"/>
    </row>
    <row r="19" customFormat="false" ht="15" hidden="false" customHeight="true" outlineLevel="0" collapsed="false">
      <c r="B19" s="11" t="s">
        <v>20</v>
      </c>
      <c r="C19" s="9" t="s">
        <v>21</v>
      </c>
      <c r="D19" s="9"/>
      <c r="E19" s="9"/>
      <c r="F19" s="9"/>
    </row>
    <row r="20" customFormat="false" ht="15" hidden="false" customHeight="true" outlineLevel="0" collapsed="false">
      <c r="B20" s="12" t="s">
        <v>22</v>
      </c>
      <c r="C20" s="9" t="s">
        <v>23</v>
      </c>
      <c r="D20" s="9"/>
      <c r="E20" s="9"/>
      <c r="F20" s="9"/>
    </row>
    <row r="21" customFormat="false" ht="15" hidden="false" customHeight="true" outlineLevel="0" collapsed="false">
      <c r="B21" s="13" t="s">
        <v>24</v>
      </c>
      <c r="C21" s="9" t="s">
        <v>25</v>
      </c>
      <c r="D21" s="9"/>
      <c r="E21" s="9"/>
      <c r="F21" s="9"/>
    </row>
    <row r="22" customFormat="false" ht="15" hidden="false" customHeight="true" outlineLevel="0" collapsed="false">
      <c r="B22" s="14" t="s">
        <v>22</v>
      </c>
      <c r="C22" s="9" t="s">
        <v>26</v>
      </c>
      <c r="D22" s="9"/>
      <c r="E22" s="9"/>
      <c r="F22" s="9"/>
    </row>
    <row r="23" customFormat="false" ht="15" hidden="false" customHeight="true" outlineLevel="0" collapsed="false">
      <c r="B23" s="15" t="s">
        <v>22</v>
      </c>
      <c r="C23" s="9" t="s">
        <v>27</v>
      </c>
      <c r="D23" s="9"/>
      <c r="E23" s="9"/>
      <c r="F23" s="9"/>
    </row>
    <row r="24" customFormat="false" ht="15" hidden="false" customHeight="true" outlineLevel="0" collapsed="false">
      <c r="B24" s="16" t="s">
        <v>28</v>
      </c>
      <c r="C24" s="9" t="s">
        <v>29</v>
      </c>
      <c r="D24" s="9"/>
      <c r="E24" s="9"/>
      <c r="F24" s="9"/>
    </row>
    <row r="25" customFormat="false" ht="15" hidden="false" customHeight="true" outlineLevel="0" collapsed="false">
      <c r="B25" s="17" t="s">
        <v>30</v>
      </c>
      <c r="C25" s="9" t="s">
        <v>31</v>
      </c>
      <c r="D25" s="9"/>
      <c r="E25" s="9"/>
      <c r="F25" s="9"/>
    </row>
    <row r="26" customFormat="false" ht="15" hidden="false" customHeight="true" outlineLevel="0" collapsed="false">
      <c r="B26" s="18" t="s">
        <v>32</v>
      </c>
      <c r="C26" s="9" t="s">
        <v>33</v>
      </c>
      <c r="D26" s="9"/>
      <c r="E26" s="9"/>
      <c r="F26" s="9"/>
    </row>
    <row r="27" customFormat="false" ht="15" hidden="false" customHeight="true" outlineLevel="0" collapsed="false">
      <c r="B27" s="19" t="s">
        <v>34</v>
      </c>
      <c r="C27" s="9" t="s">
        <v>35</v>
      </c>
      <c r="D27" s="9"/>
      <c r="E27" s="9"/>
      <c r="F27" s="9"/>
    </row>
    <row r="28" customFormat="false" ht="15" hidden="false" customHeight="true" outlineLevel="0" collapsed="false">
      <c r="B28" s="20" t="s">
        <v>36</v>
      </c>
      <c r="C28" s="9" t="s">
        <v>37</v>
      </c>
      <c r="D28" s="9"/>
      <c r="E28" s="9"/>
      <c r="F28" s="9"/>
    </row>
    <row r="30" customFormat="false" ht="15" hidden="false" customHeight="true" outlineLevel="0" collapsed="false">
      <c r="B30" s="6" t="s">
        <v>38</v>
      </c>
      <c r="C30" s="6"/>
      <c r="D30" s="6"/>
      <c r="E30" s="6"/>
      <c r="F30" s="6"/>
    </row>
    <row r="31" customFormat="false" ht="15" hidden="false" customHeight="true" outlineLevel="0" collapsed="false">
      <c r="B31" s="21" t="s">
        <v>39</v>
      </c>
      <c r="C31" s="21" t="s">
        <v>40</v>
      </c>
      <c r="D31" s="21" t="s">
        <v>41</v>
      </c>
      <c r="E31" s="21" t="s">
        <v>42</v>
      </c>
      <c r="F31" s="21" t="s">
        <v>43</v>
      </c>
    </row>
    <row r="32" customFormat="false" ht="15" hidden="false" customHeight="true" outlineLevel="0" collapsed="false">
      <c r="B32" s="3" t="s">
        <v>20</v>
      </c>
      <c r="C32" s="22" t="s">
        <v>44</v>
      </c>
      <c r="D32" s="22" t="s">
        <v>45</v>
      </c>
      <c r="E32" s="22" t="s">
        <v>46</v>
      </c>
      <c r="F32" s="22" t="s">
        <v>47</v>
      </c>
    </row>
    <row r="33" customFormat="false" ht="15" hidden="false" customHeight="true" outlineLevel="0" collapsed="false">
      <c r="B33" s="3" t="s">
        <v>48</v>
      </c>
      <c r="C33" s="22" t="s">
        <v>49</v>
      </c>
      <c r="D33" s="22" t="s">
        <v>46</v>
      </c>
      <c r="E33" s="22" t="s">
        <v>49</v>
      </c>
      <c r="F33" s="22" t="s">
        <v>50</v>
      </c>
    </row>
    <row r="34" customFormat="false" ht="15" hidden="false" customHeight="true" outlineLevel="0" collapsed="false">
      <c r="B34" s="3" t="s">
        <v>51</v>
      </c>
      <c r="C34" s="22" t="s">
        <v>49</v>
      </c>
      <c r="D34" s="22" t="s">
        <v>46</v>
      </c>
      <c r="E34" s="22" t="s">
        <v>49</v>
      </c>
      <c r="F34" s="22" t="s">
        <v>52</v>
      </c>
    </row>
    <row r="35" customFormat="false" ht="15" hidden="false" customHeight="true" outlineLevel="0" collapsed="false">
      <c r="B35" s="3" t="s">
        <v>53</v>
      </c>
      <c r="C35" s="22" t="s">
        <v>49</v>
      </c>
      <c r="D35" s="22" t="s">
        <v>46</v>
      </c>
      <c r="E35" s="22" t="s">
        <v>49</v>
      </c>
      <c r="F35" s="22" t="s">
        <v>54</v>
      </c>
    </row>
    <row r="36" customFormat="false" ht="15" hidden="false" customHeight="true" outlineLevel="0" collapsed="false">
      <c r="B36" s="3" t="s">
        <v>55</v>
      </c>
      <c r="C36" s="22" t="s">
        <v>49</v>
      </c>
      <c r="D36" s="22"/>
      <c r="E36" s="22" t="s">
        <v>49</v>
      </c>
      <c r="F36" s="22" t="s">
        <v>56</v>
      </c>
    </row>
    <row r="37" customFormat="false" ht="15" hidden="false" customHeight="true" outlineLevel="0" collapsed="false">
      <c r="B37" s="3" t="s">
        <v>57</v>
      </c>
      <c r="C37" s="22" t="s">
        <v>46</v>
      </c>
      <c r="D37" s="22"/>
      <c r="E37" s="22" t="s">
        <v>46</v>
      </c>
      <c r="F37" s="22" t="s">
        <v>58</v>
      </c>
    </row>
    <row r="38" customFormat="false" ht="15" hidden="false" customHeight="true" outlineLevel="0" collapsed="false">
      <c r="B38" s="23" t="s">
        <v>59</v>
      </c>
      <c r="C38" s="23"/>
      <c r="D38" s="23"/>
      <c r="E38" s="23"/>
      <c r="F38" s="23"/>
    </row>
    <row r="39" customFormat="false" ht="15" hidden="false" customHeight="true" outlineLevel="0" collapsed="false">
      <c r="B39" s="23" t="s">
        <v>60</v>
      </c>
      <c r="C39" s="23"/>
      <c r="D39" s="23"/>
      <c r="E39" s="23"/>
      <c r="F39" s="23"/>
    </row>
    <row r="40" customFormat="false" ht="15" hidden="false" customHeight="true" outlineLevel="0" collapsed="false">
      <c r="B40" s="23" t="s">
        <v>61</v>
      </c>
      <c r="C40" s="23"/>
      <c r="D40" s="23"/>
      <c r="E40" s="23"/>
      <c r="F40" s="23"/>
    </row>
    <row r="42" customFormat="false" ht="15" hidden="false" customHeight="true" outlineLevel="0" collapsed="false">
      <c r="B42" s="6" t="s">
        <v>62</v>
      </c>
      <c r="C42" s="6"/>
      <c r="D42" s="6"/>
      <c r="E42" s="6"/>
      <c r="F42" s="6"/>
    </row>
    <row r="43" customFormat="false" ht="15" hidden="false" customHeight="true" outlineLevel="0" collapsed="false">
      <c r="B43" s="21" t="s">
        <v>63</v>
      </c>
      <c r="C43" s="21" t="s">
        <v>64</v>
      </c>
      <c r="D43" s="21" t="s">
        <v>65</v>
      </c>
      <c r="E43" s="21" t="s">
        <v>66</v>
      </c>
      <c r="F43" s="21" t="s">
        <v>67</v>
      </c>
    </row>
    <row r="44" customFormat="false" ht="15" hidden="false" customHeight="true" outlineLevel="0" collapsed="false">
      <c r="B44" s="22" t="s">
        <v>68</v>
      </c>
      <c r="C44" s="24" t="n">
        <v>10000</v>
      </c>
      <c r="D44" s="24"/>
      <c r="E44" s="22" t="s">
        <v>69</v>
      </c>
      <c r="F44" s="22" t="s">
        <v>70</v>
      </c>
    </row>
    <row r="45" customFormat="false" ht="15" hidden="false" customHeight="true" outlineLevel="0" collapsed="false">
      <c r="B45" s="22" t="s">
        <v>71</v>
      </c>
      <c r="C45" s="24"/>
      <c r="D45" s="24" t="n">
        <v>10000</v>
      </c>
      <c r="E45" s="22" t="s">
        <v>72</v>
      </c>
      <c r="F45" s="22"/>
    </row>
    <row r="47" customFormat="false" ht="15" hidden="false" customHeight="true" outlineLevel="0" collapsed="false">
      <c r="B47" s="6" t="s">
        <v>73</v>
      </c>
      <c r="C47" s="6"/>
      <c r="D47" s="6"/>
      <c r="E47" s="6"/>
      <c r="F47" s="6"/>
    </row>
    <row r="48" customFormat="false" ht="25.5" hidden="false" customHeight="true" outlineLevel="0" collapsed="false">
      <c r="B48" s="25" t="s">
        <v>74</v>
      </c>
      <c r="C48" s="7" t="s">
        <v>75</v>
      </c>
      <c r="D48" s="7"/>
      <c r="E48" s="7"/>
      <c r="F48" s="7"/>
    </row>
    <row r="49" customFormat="false" ht="25.5" hidden="false" customHeight="true" outlineLevel="0" collapsed="false">
      <c r="B49" s="26" t="s">
        <v>76</v>
      </c>
      <c r="C49" s="7" t="s">
        <v>77</v>
      </c>
      <c r="D49" s="7"/>
      <c r="E49" s="7"/>
      <c r="F49" s="7"/>
    </row>
    <row r="50" customFormat="false" ht="25.5" hidden="false" customHeight="true" outlineLevel="0" collapsed="false">
      <c r="B50" s="27" t="s">
        <v>78</v>
      </c>
      <c r="C50" s="7" t="s">
        <v>79</v>
      </c>
      <c r="D50" s="7"/>
      <c r="E50" s="7"/>
      <c r="F50" s="7"/>
    </row>
    <row r="51" customFormat="false" ht="25.5" hidden="false" customHeight="true" outlineLevel="0" collapsed="false">
      <c r="B51" s="28" t="s">
        <v>80</v>
      </c>
      <c r="C51" s="7" t="s">
        <v>81</v>
      </c>
      <c r="D51" s="7"/>
      <c r="E51" s="7"/>
      <c r="F51" s="7"/>
    </row>
    <row r="52" customFormat="false" ht="25.5" hidden="false" customHeight="true" outlineLevel="0" collapsed="false">
      <c r="B52" s="28" t="s">
        <v>82</v>
      </c>
      <c r="C52" s="7" t="s">
        <v>83</v>
      </c>
      <c r="D52" s="7"/>
      <c r="E52" s="7"/>
      <c r="F52" s="7"/>
    </row>
    <row r="54" customFormat="false" ht="15" hidden="false" customHeight="true" outlineLevel="0" collapsed="false">
      <c r="B54" s="6" t="s">
        <v>84</v>
      </c>
      <c r="C54" s="6"/>
      <c r="D54" s="6"/>
      <c r="E54" s="6"/>
      <c r="F54" s="6"/>
    </row>
    <row r="55" customFormat="false" ht="25.5" hidden="false" customHeight="true" outlineLevel="0" collapsed="false">
      <c r="B55" s="3" t="s">
        <v>85</v>
      </c>
      <c r="C55" s="7" t="s">
        <v>86</v>
      </c>
      <c r="D55" s="7"/>
      <c r="E55" s="7"/>
      <c r="F55" s="7"/>
    </row>
    <row r="56" customFormat="false" ht="25.5" hidden="false" customHeight="true" outlineLevel="0" collapsed="false">
      <c r="B56" s="3" t="s">
        <v>87</v>
      </c>
      <c r="C56" s="7" t="s">
        <v>88</v>
      </c>
      <c r="D56" s="7"/>
      <c r="E56" s="7"/>
      <c r="F56" s="7"/>
    </row>
    <row r="57" customFormat="false" ht="25.5" hidden="false" customHeight="true" outlineLevel="0" collapsed="false">
      <c r="B57" s="3" t="s">
        <v>89</v>
      </c>
      <c r="C57" s="7" t="s">
        <v>90</v>
      </c>
      <c r="D57" s="7"/>
      <c r="E57" s="7"/>
      <c r="F57" s="7"/>
    </row>
    <row r="58" customFormat="false" ht="25.5" hidden="false" customHeight="true" outlineLevel="0" collapsed="false">
      <c r="B58" s="3" t="s">
        <v>91</v>
      </c>
      <c r="C58" s="7" t="s">
        <v>92</v>
      </c>
      <c r="D58" s="7"/>
      <c r="E58" s="7"/>
      <c r="F58" s="7"/>
    </row>
    <row r="59" customFormat="false" ht="25.5" hidden="false" customHeight="true" outlineLevel="0" collapsed="false">
      <c r="B59" s="3" t="s">
        <v>93</v>
      </c>
      <c r="C59" s="7" t="s">
        <v>94</v>
      </c>
      <c r="D59" s="7"/>
      <c r="E59" s="7"/>
      <c r="F59" s="7"/>
    </row>
    <row r="60" customFormat="false" ht="25.5" hidden="false" customHeight="true" outlineLevel="0" collapsed="false">
      <c r="B60" s="3" t="s">
        <v>95</v>
      </c>
      <c r="C60" s="7" t="s">
        <v>96</v>
      </c>
      <c r="D60" s="7"/>
      <c r="E60" s="7"/>
      <c r="F60" s="7"/>
    </row>
    <row r="62" customFormat="false" ht="15" hidden="false" customHeight="true" outlineLevel="0" collapsed="false">
      <c r="B62" s="6" t="s">
        <v>97</v>
      </c>
      <c r="C62" s="6"/>
      <c r="D62" s="6"/>
      <c r="E62" s="6"/>
      <c r="F62" s="6"/>
    </row>
    <row r="63" customFormat="false" ht="30" hidden="false" customHeight="true" outlineLevel="0" collapsed="false">
      <c r="B63" s="3" t="s">
        <v>98</v>
      </c>
      <c r="C63" s="7" t="s">
        <v>99</v>
      </c>
      <c r="D63" s="7"/>
      <c r="E63" s="7"/>
      <c r="F63" s="7"/>
    </row>
    <row r="64" customFormat="false" ht="30" hidden="false" customHeight="true" outlineLevel="0" collapsed="false">
      <c r="B64" s="3" t="s">
        <v>100</v>
      </c>
      <c r="C64" s="7" t="s">
        <v>101</v>
      </c>
      <c r="D64" s="7"/>
      <c r="E64" s="7"/>
      <c r="F64" s="7"/>
    </row>
    <row r="65" customFormat="false" ht="30" hidden="false" customHeight="true" outlineLevel="0" collapsed="false">
      <c r="B65" s="3" t="s">
        <v>102</v>
      </c>
      <c r="C65" s="7" t="s">
        <v>103</v>
      </c>
      <c r="D65" s="7"/>
      <c r="E65" s="7"/>
      <c r="F65" s="7"/>
    </row>
    <row r="66" customFormat="false" ht="30" hidden="false" customHeight="true" outlineLevel="0" collapsed="false">
      <c r="B66" s="3" t="s">
        <v>104</v>
      </c>
      <c r="C66" s="7" t="s">
        <v>105</v>
      </c>
      <c r="D66" s="7"/>
      <c r="E66" s="7"/>
      <c r="F66" s="7"/>
    </row>
  </sheetData>
  <mergeCells count="45">
    <mergeCell ref="B1:F1"/>
    <mergeCell ref="B7:F7"/>
    <mergeCell ref="B8:F8"/>
    <mergeCell ref="B9:F9"/>
    <mergeCell ref="B10:F10"/>
    <mergeCell ref="B11:F11"/>
    <mergeCell ref="B12:F12"/>
    <mergeCell ref="B13:F13"/>
    <mergeCell ref="B14:F14"/>
    <mergeCell ref="B16:F16"/>
    <mergeCell ref="C17:F17"/>
    <mergeCell ref="C18:F18"/>
    <mergeCell ref="C19:F19"/>
    <mergeCell ref="C20:F20"/>
    <mergeCell ref="C21:F21"/>
    <mergeCell ref="C22:F22"/>
    <mergeCell ref="C23:F23"/>
    <mergeCell ref="C24:F24"/>
    <mergeCell ref="C25:F25"/>
    <mergeCell ref="C26:F26"/>
    <mergeCell ref="C27:F27"/>
    <mergeCell ref="C28:F28"/>
    <mergeCell ref="B30:F30"/>
    <mergeCell ref="B38:F38"/>
    <mergeCell ref="B39:F39"/>
    <mergeCell ref="B40:F40"/>
    <mergeCell ref="B42:F42"/>
    <mergeCell ref="B47:F47"/>
    <mergeCell ref="C48:F48"/>
    <mergeCell ref="C49:F49"/>
    <mergeCell ref="C50:F50"/>
    <mergeCell ref="C51:F51"/>
    <mergeCell ref="C52:F52"/>
    <mergeCell ref="B54:F54"/>
    <mergeCell ref="C55:F55"/>
    <mergeCell ref="C56:F56"/>
    <mergeCell ref="C57:F57"/>
    <mergeCell ref="C58:F58"/>
    <mergeCell ref="C59:F59"/>
    <mergeCell ref="C60:F60"/>
    <mergeCell ref="B62:F62"/>
    <mergeCell ref="C63:F63"/>
    <mergeCell ref="C64:F64"/>
    <mergeCell ref="C65:F65"/>
    <mergeCell ref="C66:F66"/>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true"/>
  </sheetPr>
  <dimension ref="B1:F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6"/>
    <col collapsed="false" customWidth="true" hidden="false" outlineLevel="0" max="3" min="3" style="0" width="40"/>
    <col collapsed="false" customWidth="true" hidden="false" outlineLevel="0" max="4" min="4" style="0" width="30"/>
    <col collapsed="false" customWidth="true" hidden="false" outlineLevel="0" max="5" min="5" style="0" width="62"/>
    <col collapsed="false" customWidth="true" hidden="false" outlineLevel="0" max="6" min="6" style="0" width="16"/>
    <col collapsed="false" customWidth="true" hidden="false" outlineLevel="0" max="7" min="7" style="0" width="2"/>
  </cols>
  <sheetData>
    <row r="1" customFormat="false" ht="16.15" hidden="false" customHeight="false" outlineLevel="0" collapsed="false">
      <c r="B1" s="29" t="s">
        <v>106</v>
      </c>
      <c r="C1" s="29"/>
      <c r="D1" s="29"/>
      <c r="E1" s="29"/>
      <c r="F1" s="29"/>
    </row>
    <row r="3" customFormat="false" ht="15" hidden="false" customHeight="false" outlineLevel="0" collapsed="false">
      <c r="B3" s="30" t="s">
        <v>107</v>
      </c>
      <c r="C3" s="30" t="s">
        <v>108</v>
      </c>
      <c r="D3" s="30" t="s">
        <v>109</v>
      </c>
      <c r="E3" s="30" t="s">
        <v>110</v>
      </c>
      <c r="F3" s="30" t="s">
        <v>111</v>
      </c>
    </row>
    <row r="4" customFormat="false" ht="78" hidden="false" customHeight="true" outlineLevel="0" collapsed="false">
      <c r="B4" s="31" t="s">
        <v>112</v>
      </c>
      <c r="C4" s="32" t="s">
        <v>113</v>
      </c>
      <c r="D4" s="32" t="s">
        <v>114</v>
      </c>
      <c r="E4" s="32" t="s">
        <v>115</v>
      </c>
      <c r="F4" s="33" t="n">
        <v>750000</v>
      </c>
    </row>
    <row r="5" customFormat="false" ht="78" hidden="false" customHeight="true" outlineLevel="0" collapsed="false">
      <c r="B5" s="31" t="s">
        <v>116</v>
      </c>
      <c r="C5" s="32" t="s">
        <v>117</v>
      </c>
      <c r="D5" s="32" t="s">
        <v>118</v>
      </c>
      <c r="E5" s="32" t="s">
        <v>119</v>
      </c>
      <c r="F5" s="33" t="n">
        <v>7400000</v>
      </c>
    </row>
    <row r="6" customFormat="false" ht="78" hidden="false" customHeight="true" outlineLevel="0" collapsed="false">
      <c r="B6" s="31" t="s">
        <v>120</v>
      </c>
      <c r="C6" s="32" t="s">
        <v>121</v>
      </c>
      <c r="D6" s="32" t="s">
        <v>122</v>
      </c>
      <c r="E6" s="32" t="s">
        <v>123</v>
      </c>
      <c r="F6" s="33" t="n">
        <v>125000</v>
      </c>
    </row>
    <row r="7" customFormat="false" ht="78" hidden="false" customHeight="true" outlineLevel="0" collapsed="false">
      <c r="B7" s="31" t="s">
        <v>124</v>
      </c>
      <c r="C7" s="32" t="s">
        <v>125</v>
      </c>
      <c r="D7" s="32" t="s">
        <v>126</v>
      </c>
      <c r="E7" s="32" t="s">
        <v>127</v>
      </c>
      <c r="F7" s="33" t="n">
        <v>930000</v>
      </c>
    </row>
    <row r="8" customFormat="false" ht="78" hidden="false" customHeight="true" outlineLevel="0" collapsed="false">
      <c r="B8" s="31" t="s">
        <v>128</v>
      </c>
      <c r="C8" s="32" t="s">
        <v>129</v>
      </c>
      <c r="D8" s="32" t="s">
        <v>130</v>
      </c>
      <c r="E8" s="32" t="s">
        <v>131</v>
      </c>
      <c r="F8" s="33" t="n">
        <v>8000</v>
      </c>
    </row>
    <row r="9" customFormat="false" ht="78" hidden="false" customHeight="true" outlineLevel="0" collapsed="false">
      <c r="B9" s="31" t="s">
        <v>132</v>
      </c>
      <c r="C9" s="32" t="s">
        <v>133</v>
      </c>
      <c r="D9" s="32" t="s">
        <v>134</v>
      </c>
      <c r="E9" s="32" t="s">
        <v>135</v>
      </c>
      <c r="F9" s="33" t="n">
        <v>40000</v>
      </c>
    </row>
    <row r="10" customFormat="false" ht="78" hidden="false" customHeight="true" outlineLevel="0" collapsed="false">
      <c r="B10" s="31" t="s">
        <v>136</v>
      </c>
      <c r="C10" s="32" t="s">
        <v>137</v>
      </c>
      <c r="D10" s="32" t="s">
        <v>138</v>
      </c>
      <c r="E10" s="32" t="s">
        <v>139</v>
      </c>
      <c r="F10" s="33" t="n">
        <v>199600</v>
      </c>
    </row>
    <row r="11" customFormat="false" ht="78" hidden="false" customHeight="true" outlineLevel="0" collapsed="false">
      <c r="B11" s="31" t="s">
        <v>140</v>
      </c>
      <c r="C11" s="32" t="s">
        <v>141</v>
      </c>
      <c r="D11" s="32" t="s">
        <v>142</v>
      </c>
      <c r="E11" s="32" t="s">
        <v>143</v>
      </c>
      <c r="F11" s="33" t="n">
        <v>1420000</v>
      </c>
    </row>
    <row r="12" customFormat="false" ht="78" hidden="false" customHeight="true" outlineLevel="0" collapsed="false">
      <c r="B12" s="31" t="s">
        <v>144</v>
      </c>
      <c r="C12" s="32" t="s">
        <v>145</v>
      </c>
      <c r="D12" s="32" t="s">
        <v>146</v>
      </c>
      <c r="E12" s="32" t="s">
        <v>147</v>
      </c>
      <c r="F12" s="33" t="n">
        <v>224000</v>
      </c>
    </row>
    <row r="13" customFormat="false" ht="78" hidden="false" customHeight="true" outlineLevel="0" collapsed="false">
      <c r="B13" s="31" t="s">
        <v>148</v>
      </c>
      <c r="C13" s="32" t="s">
        <v>149</v>
      </c>
      <c r="D13" s="32" t="s">
        <v>150</v>
      </c>
      <c r="E13" s="32" t="s">
        <v>151</v>
      </c>
      <c r="F13" s="33" t="n">
        <v>0</v>
      </c>
    </row>
    <row r="14" customFormat="false" ht="78" hidden="false" customHeight="true" outlineLevel="0" collapsed="false">
      <c r="B14" s="31" t="s">
        <v>152</v>
      </c>
      <c r="C14" s="32" t="s">
        <v>153</v>
      </c>
      <c r="D14" s="32" t="s">
        <v>154</v>
      </c>
      <c r="E14" s="32" t="s">
        <v>155</v>
      </c>
      <c r="F14" s="33" t="n">
        <v>278000</v>
      </c>
    </row>
    <row r="16" customFormat="false" ht="15" hidden="false" customHeight="false" outlineLevel="0" collapsed="false">
      <c r="B16" s="34" t="s">
        <v>156</v>
      </c>
      <c r="C16" s="34"/>
      <c r="D16" s="34"/>
      <c r="E16" s="34"/>
      <c r="F16" s="34"/>
    </row>
    <row r="17" customFormat="false" ht="15" hidden="false" customHeight="false" outlineLevel="0" collapsed="false">
      <c r="C17" s="35" t="s">
        <v>157</v>
      </c>
      <c r="D17" s="35" t="s">
        <v>158</v>
      </c>
      <c r="E17" s="35" t="s">
        <v>159</v>
      </c>
      <c r="F17" s="35" t="s">
        <v>160</v>
      </c>
    </row>
    <row r="18" customFormat="false" ht="15" hidden="false" customHeight="false" outlineLevel="0" collapsed="false">
      <c r="C18" s="36" t="s">
        <v>161</v>
      </c>
      <c r="D18" s="37" t="n">
        <v>7400000</v>
      </c>
      <c r="E18" s="37" t="n">
        <v>0</v>
      </c>
      <c r="F18" s="37" t="n">
        <v>0</v>
      </c>
    </row>
    <row r="19" customFormat="false" ht="15" hidden="false" customHeight="false" outlineLevel="0" collapsed="false">
      <c r="C19" s="36" t="s">
        <v>162</v>
      </c>
      <c r="D19" s="37" t="n">
        <v>0</v>
      </c>
      <c r="E19" s="37" t="n">
        <v>-8000</v>
      </c>
      <c r="F19" s="37" t="n">
        <v>0</v>
      </c>
    </row>
    <row r="20" customFormat="false" ht="15" hidden="false" customHeight="false" outlineLevel="0" collapsed="false">
      <c r="C20" s="36" t="s">
        <v>163</v>
      </c>
      <c r="D20" s="37" t="n">
        <v>0</v>
      </c>
      <c r="E20" s="37" t="n">
        <v>3000</v>
      </c>
      <c r="F20" s="37" t="n">
        <v>420000</v>
      </c>
    </row>
    <row r="21" customFormat="false" ht="15" hidden="false" customHeight="false" outlineLevel="0" collapsed="false">
      <c r="C21" s="36" t="s">
        <v>164</v>
      </c>
      <c r="D21" s="37" t="n">
        <v>0</v>
      </c>
      <c r="E21" s="37" t="n">
        <v>0</v>
      </c>
      <c r="F21" s="37" t="n">
        <v>-224000</v>
      </c>
    </row>
    <row r="22" customFormat="false" ht="15" hidden="false" customHeight="false" outlineLevel="0" collapsed="false">
      <c r="C22" s="36" t="s">
        <v>165</v>
      </c>
      <c r="D22" s="37" t="n">
        <v>0</v>
      </c>
      <c r="E22" s="37" t="n">
        <v>-28500</v>
      </c>
      <c r="F22" s="37" t="n">
        <v>-27000</v>
      </c>
    </row>
    <row r="23" customFormat="false" ht="15" hidden="false" customHeight="false" outlineLevel="0" collapsed="false">
      <c r="C23" s="36" t="s">
        <v>166</v>
      </c>
      <c r="D23" s="37" t="n">
        <v>0</v>
      </c>
      <c r="E23" s="37" t="n">
        <v>-62000</v>
      </c>
      <c r="F23" s="37" t="n">
        <v>-66000</v>
      </c>
    </row>
    <row r="24" customFormat="false" ht="15" hidden="false" customHeight="false" outlineLevel="0" collapsed="false">
      <c r="C24" s="36" t="s">
        <v>167</v>
      </c>
      <c r="D24" s="37" t="n">
        <v>0</v>
      </c>
      <c r="E24" s="37" t="n">
        <v>0</v>
      </c>
      <c r="F24" s="37" t="n">
        <v>-142000</v>
      </c>
    </row>
    <row r="25" customFormat="false" ht="15" hidden="false" customHeight="false" outlineLevel="0" collapsed="false">
      <c r="C25" s="36" t="s">
        <v>168</v>
      </c>
      <c r="D25" s="37" t="n">
        <v>0</v>
      </c>
      <c r="E25" s="37" t="n">
        <v>0</v>
      </c>
      <c r="F25" s="37" t="n">
        <v>-278000</v>
      </c>
    </row>
    <row r="26" customFormat="false" ht="15" hidden="false" customHeight="false" outlineLevel="0" collapsed="false">
      <c r="C26" s="38" t="s">
        <v>169</v>
      </c>
      <c r="D26" s="39" t="n">
        <f aca="false">SUM(D18:D25)</f>
        <v>7400000</v>
      </c>
      <c r="E26" s="39" t="n">
        <f aca="false">SUM(E18:E25)</f>
        <v>-95500</v>
      </c>
      <c r="F26" s="39" t="n">
        <f aca="false">SUM(F18:F25)</f>
        <v>-317000</v>
      </c>
    </row>
    <row r="27" customFormat="false" ht="30" hidden="false" customHeight="true" outlineLevel="0" collapsed="false">
      <c r="B27" s="40" t="s">
        <v>170</v>
      </c>
      <c r="C27" s="40"/>
      <c r="D27" s="40"/>
      <c r="E27" s="40"/>
      <c r="F27" s="40"/>
    </row>
    <row r="29" customFormat="false" ht="15" hidden="false" customHeight="false" outlineLevel="0" collapsed="false">
      <c r="B29" s="34" t="s">
        <v>171</v>
      </c>
      <c r="C29" s="34"/>
      <c r="D29" s="34"/>
      <c r="E29" s="34"/>
      <c r="F29" s="34"/>
    </row>
    <row r="30" customFormat="false" ht="31.5" hidden="false" customHeight="true" outlineLevel="0" collapsed="false">
      <c r="B30" s="40" t="s">
        <v>172</v>
      </c>
      <c r="C30" s="40"/>
      <c r="D30" s="40"/>
      <c r="E30" s="40"/>
      <c r="F30" s="40"/>
    </row>
    <row r="31" customFormat="false" ht="31.5" hidden="false" customHeight="true" outlineLevel="0" collapsed="false">
      <c r="B31" s="40" t="s">
        <v>173</v>
      </c>
      <c r="C31" s="40"/>
      <c r="D31" s="40"/>
      <c r="E31" s="40"/>
      <c r="F31" s="40"/>
    </row>
    <row r="32" customFormat="false" ht="31.5" hidden="false" customHeight="true" outlineLevel="0" collapsed="false">
      <c r="B32" s="40" t="s">
        <v>174</v>
      </c>
      <c r="C32" s="40"/>
      <c r="D32" s="40"/>
      <c r="E32" s="40"/>
      <c r="F32" s="40"/>
    </row>
    <row r="33" customFormat="false" ht="31.5" hidden="false" customHeight="true" outlineLevel="0" collapsed="false">
      <c r="B33" s="40" t="s">
        <v>175</v>
      </c>
      <c r="C33" s="40"/>
      <c r="D33" s="40"/>
      <c r="E33" s="40"/>
      <c r="F33" s="40"/>
    </row>
    <row r="34" customFormat="false" ht="31.5" hidden="false" customHeight="true" outlineLevel="0" collapsed="false">
      <c r="B34" s="40" t="s">
        <v>176</v>
      </c>
      <c r="C34" s="40"/>
      <c r="D34" s="40"/>
      <c r="E34" s="40"/>
      <c r="F34" s="40"/>
    </row>
    <row r="35" customFormat="false" ht="31.5" hidden="false" customHeight="true" outlineLevel="0" collapsed="false">
      <c r="B35" s="40" t="s">
        <v>177</v>
      </c>
      <c r="C35" s="40"/>
      <c r="D35" s="40"/>
      <c r="E35" s="40"/>
      <c r="F35" s="40"/>
    </row>
    <row r="37" customFormat="false" ht="15" hidden="false" customHeight="false" outlineLevel="0" collapsed="false">
      <c r="B37" s="34" t="s">
        <v>178</v>
      </c>
      <c r="C37" s="34"/>
      <c r="D37" s="34"/>
      <c r="E37" s="34"/>
      <c r="F37" s="34"/>
    </row>
    <row r="38" customFormat="false" ht="31.5" hidden="false" customHeight="true" outlineLevel="0" collapsed="false">
      <c r="B38" s="40" t="s">
        <v>179</v>
      </c>
      <c r="C38" s="40"/>
      <c r="D38" s="40"/>
      <c r="E38" s="40"/>
      <c r="F38" s="40"/>
    </row>
    <row r="39" customFormat="false" ht="31.5" hidden="false" customHeight="true" outlineLevel="0" collapsed="false">
      <c r="B39" s="40" t="s">
        <v>180</v>
      </c>
      <c r="C39" s="40"/>
      <c r="D39" s="40"/>
      <c r="E39" s="40"/>
      <c r="F39" s="40"/>
    </row>
    <row r="40" customFormat="false" ht="31.5" hidden="false" customHeight="true" outlineLevel="0" collapsed="false">
      <c r="B40" s="40" t="s">
        <v>181</v>
      </c>
      <c r="C40" s="40"/>
      <c r="D40" s="40"/>
      <c r="E40" s="40"/>
      <c r="F40" s="40"/>
    </row>
    <row r="41" customFormat="false" ht="31.5" hidden="false" customHeight="true" outlineLevel="0" collapsed="false">
      <c r="B41" s="40" t="s">
        <v>182</v>
      </c>
      <c r="C41" s="40"/>
      <c r="D41" s="40"/>
      <c r="E41" s="40"/>
      <c r="F41" s="40"/>
    </row>
  </sheetData>
  <mergeCells count="15">
    <mergeCell ref="B1:F1"/>
    <mergeCell ref="B16:F16"/>
    <mergeCell ref="B27:F27"/>
    <mergeCell ref="B29:F29"/>
    <mergeCell ref="B30:F30"/>
    <mergeCell ref="B31:F31"/>
    <mergeCell ref="B32:F32"/>
    <mergeCell ref="B33:F33"/>
    <mergeCell ref="B34:F34"/>
    <mergeCell ref="B35:F35"/>
    <mergeCell ref="B37:F37"/>
    <mergeCell ref="B38:F38"/>
    <mergeCell ref="B39:F39"/>
    <mergeCell ref="B40:F40"/>
    <mergeCell ref="B41:F4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true"/>
  </sheetPr>
  <dimension ref="B1:K10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1" width="2"/>
    <col collapsed="false" customWidth="true" hidden="false" outlineLevel="0" max="2" min="2" style="1" width="7"/>
    <col collapsed="false" customWidth="true" hidden="false" outlineLevel="0" max="3" min="3" style="1" width="40"/>
    <col collapsed="false" customWidth="true" hidden="false" outlineLevel="0" max="4" min="4" style="1" width="36"/>
    <col collapsed="false" customWidth="true" hidden="false" outlineLevel="0" max="6" min="5" style="1" width="13"/>
    <col collapsed="false" customWidth="true" hidden="false" outlineLevel="0" max="9" min="7" style="1" width="11"/>
    <col collapsed="false" customWidth="true" hidden="false" outlineLevel="0" max="10" min="10" style="1" width="2"/>
    <col collapsed="false" customWidth="true" hidden="false" outlineLevel="0" max="11" min="11" style="1" width="70"/>
  </cols>
  <sheetData>
    <row r="1" customFormat="false" ht="17.25" hidden="false" customHeight="true" outlineLevel="0" collapsed="false">
      <c r="B1" s="2" t="s">
        <v>183</v>
      </c>
      <c r="C1" s="2"/>
      <c r="D1" s="2"/>
      <c r="E1" s="2"/>
      <c r="F1" s="2"/>
      <c r="G1" s="2"/>
      <c r="H1" s="2"/>
      <c r="I1" s="2"/>
    </row>
    <row r="2" customFormat="false" ht="15" hidden="false" customHeight="true" outlineLevel="0" collapsed="false">
      <c r="B2" s="3" t="s">
        <v>184</v>
      </c>
      <c r="C2" s="41" t="str">
        <f aca="false">Guide!$C$3</f>
        <v>Laboratorios Dermolab</v>
      </c>
      <c r="D2" s="41"/>
      <c r="E2" s="3" t="s">
        <v>185</v>
      </c>
      <c r="F2" s="41" t="str">
        <f aca="false">Guide!$C$4</f>
        <v>2018–2021</v>
      </c>
      <c r="G2" s="41"/>
    </row>
    <row r="4" customFormat="false" ht="15" hidden="false" customHeight="true" outlineLevel="0" collapsed="false">
      <c r="C4" s="42" t="s">
        <v>186</v>
      </c>
      <c r="E4" s="43" t="n">
        <f aca="false">SUM(E7:E106)</f>
        <v>24320100</v>
      </c>
      <c r="F4" s="43" t="n">
        <f aca="false">SUM(F7:F106)</f>
        <v>24320100</v>
      </c>
      <c r="G4" s="44" t="str">
        <f aca="false">IF(ABS(E4-F4)&lt;0.5,"OK","ERROR: "&amp;TEXT(E4-F4,"#,##0"))</f>
        <v>OK</v>
      </c>
      <c r="H4" s="44"/>
    </row>
    <row r="6" customFormat="false" ht="15" hidden="false" customHeight="true" outlineLevel="0" collapsed="false">
      <c r="B6" s="45" t="s">
        <v>107</v>
      </c>
      <c r="C6" s="45" t="s">
        <v>187</v>
      </c>
      <c r="D6" s="45" t="s">
        <v>188</v>
      </c>
      <c r="E6" s="45" t="s">
        <v>64</v>
      </c>
      <c r="F6" s="45" t="s">
        <v>65</v>
      </c>
      <c r="G6" s="45" t="s">
        <v>66</v>
      </c>
      <c r="H6" s="45" t="s">
        <v>189</v>
      </c>
      <c r="I6" s="45" t="s">
        <v>190</v>
      </c>
      <c r="K6" s="46" t="s">
        <v>191</v>
      </c>
    </row>
    <row r="7" customFormat="false" ht="15" hidden="false" customHeight="true" outlineLevel="0" collapsed="false">
      <c r="B7" s="47" t="s">
        <v>112</v>
      </c>
      <c r="C7" s="48" t="s">
        <v>192</v>
      </c>
      <c r="D7" s="48" t="s">
        <v>193</v>
      </c>
      <c r="E7" s="49"/>
      <c r="F7" s="49"/>
      <c r="G7" s="47"/>
      <c r="H7" s="47"/>
      <c r="I7" s="50" t="str">
        <f aca="false">IF(B7="","",IF(ABS(SUMIF($B$7:$B$106,B7,$E$7:$E$106)-SUMIF($B$7:$B$106,B7,$F$7:$F$106))&lt;0.5,"OK","ERROR: Dr≠Cr"))</f>
        <v>OK</v>
      </c>
      <c r="K7" s="51" t="s">
        <v>194</v>
      </c>
    </row>
    <row r="8" customFormat="false" ht="15" hidden="false" customHeight="true" outlineLevel="0" collapsed="false">
      <c r="B8" s="52" t="s">
        <v>116</v>
      </c>
      <c r="C8" s="53" t="s">
        <v>195</v>
      </c>
      <c r="D8" s="53" t="s">
        <v>196</v>
      </c>
      <c r="E8" s="54" t="n">
        <v>13000000</v>
      </c>
      <c r="F8" s="54"/>
      <c r="G8" s="52" t="s">
        <v>69</v>
      </c>
      <c r="H8" s="52" t="s">
        <v>197</v>
      </c>
      <c r="I8" s="50" t="str">
        <f aca="false">IF(B8="","",IF(ABS(SUMIF($B$7:$B$106,B8,$E$7:$E$106)-SUMIF($B$7:$B$106,B8,$F$7:$F$106))&lt;0.5,"OK","ERROR: Dr≠Cr"))</f>
        <v>OK</v>
      </c>
      <c r="K8" s="55" t="s">
        <v>198</v>
      </c>
    </row>
    <row r="9" customFormat="false" ht="15" hidden="false" customHeight="true" outlineLevel="0" collapsed="false">
      <c r="B9" s="47" t="s">
        <v>116</v>
      </c>
      <c r="C9" s="48"/>
      <c r="D9" s="48" t="s">
        <v>199</v>
      </c>
      <c r="E9" s="49" t="n">
        <v>5400000</v>
      </c>
      <c r="F9" s="49"/>
      <c r="G9" s="47" t="s">
        <v>200</v>
      </c>
      <c r="H9" s="47"/>
      <c r="I9" s="50" t="str">
        <f aca="false">IF(B9="","",IF(ABS(SUMIF($B$7:$B$106,B9,$E$7:$E$106)-SUMIF($B$7:$B$106,B9,$F$7:$F$106))&lt;0.5,"OK","ERROR: Dr≠Cr"))</f>
        <v>OK</v>
      </c>
      <c r="K9" s="55" t="s">
        <v>201</v>
      </c>
    </row>
    <row r="10" customFormat="false" ht="15" hidden="false" customHeight="true" outlineLevel="0" collapsed="false">
      <c r="B10" s="52" t="s">
        <v>116</v>
      </c>
      <c r="C10" s="53"/>
      <c r="D10" s="53" t="s">
        <v>202</v>
      </c>
      <c r="E10" s="54"/>
      <c r="F10" s="54" t="n">
        <v>5000000</v>
      </c>
      <c r="G10" s="52" t="s">
        <v>203</v>
      </c>
      <c r="H10" s="52"/>
      <c r="I10" s="50" t="str">
        <f aca="false">IF(B10="","",IF(ABS(SUMIF($B$7:$B$106,B10,$E$7:$E$106)-SUMIF($B$7:$B$106,B10,$F$7:$F$106))&lt;0.5,"OK","ERROR: Dr≠Cr"))</f>
        <v>OK</v>
      </c>
      <c r="K10" s="55" t="s">
        <v>204</v>
      </c>
    </row>
    <row r="11" customFormat="false" ht="21.75" hidden="false" customHeight="true" outlineLevel="0" collapsed="false">
      <c r="B11" s="47" t="s">
        <v>116</v>
      </c>
      <c r="C11" s="48"/>
      <c r="D11" s="48" t="s">
        <v>205</v>
      </c>
      <c r="E11" s="49"/>
      <c r="F11" s="49" t="n">
        <v>6000000</v>
      </c>
      <c r="G11" s="47" t="s">
        <v>203</v>
      </c>
      <c r="H11" s="47"/>
      <c r="I11" s="50" t="str">
        <f aca="false">IF(B11="","",IF(ABS(SUMIF($B$7:$B$106,B11,$E$7:$E$106)-SUMIF($B$7:$B$106,B11,$F$7:$F$106))&lt;0.5,"OK","ERROR: Dr≠Cr"))</f>
        <v>OK</v>
      </c>
      <c r="K11" s="55" t="s">
        <v>206</v>
      </c>
    </row>
    <row r="12" customFormat="false" ht="15" hidden="false" customHeight="true" outlineLevel="0" collapsed="false">
      <c r="B12" s="52" t="s">
        <v>116</v>
      </c>
      <c r="C12" s="53" t="s">
        <v>207</v>
      </c>
      <c r="D12" s="53" t="s">
        <v>208</v>
      </c>
      <c r="E12" s="54"/>
      <c r="F12" s="54" t="n">
        <v>7400000</v>
      </c>
      <c r="G12" s="52" t="s">
        <v>209</v>
      </c>
      <c r="H12" s="52"/>
      <c r="I12" s="50" t="str">
        <f aca="false">IF(B12="","",IF(ABS(SUMIF($B$7:$B$106,B12,$E$7:$E$106)-SUMIF($B$7:$B$106,B12,$F$7:$F$106))&lt;0.5,"OK","ERROR: Dr≠Cr"))</f>
        <v>OK</v>
      </c>
      <c r="K12" s="55" t="s">
        <v>210</v>
      </c>
    </row>
    <row r="13" customFormat="false" ht="15" hidden="false" customHeight="true" outlineLevel="0" collapsed="false">
      <c r="B13" s="47" t="s">
        <v>112</v>
      </c>
      <c r="C13" s="48" t="s">
        <v>211</v>
      </c>
      <c r="D13" s="48" t="s">
        <v>202</v>
      </c>
      <c r="E13" s="49" t="n">
        <v>750000</v>
      </c>
      <c r="F13" s="49"/>
      <c r="G13" s="47" t="s">
        <v>69</v>
      </c>
      <c r="H13" s="47" t="s">
        <v>212</v>
      </c>
      <c r="I13" s="50" t="str">
        <f aca="false">IF(B13="","",IF(ABS(SUMIF($B$7:$B$106,B13,$E$7:$E$106)-SUMIF($B$7:$B$106,B13,$F$7:$F$106))&lt;0.5,"OK","ERROR: Dr≠Cr"))</f>
        <v>OK</v>
      </c>
      <c r="K13" s="55" t="s">
        <v>213</v>
      </c>
    </row>
    <row r="14" customFormat="false" ht="15" hidden="false" customHeight="true" outlineLevel="0" collapsed="false">
      <c r="B14" s="52" t="s">
        <v>112</v>
      </c>
      <c r="C14" s="53"/>
      <c r="D14" s="53" t="s">
        <v>214</v>
      </c>
      <c r="E14" s="54"/>
      <c r="F14" s="54" t="n">
        <v>750000</v>
      </c>
      <c r="G14" s="52" t="s">
        <v>72</v>
      </c>
      <c r="H14" s="52"/>
      <c r="I14" s="50" t="str">
        <f aca="false">IF(B14="","",IF(ABS(SUMIF($B$7:$B$106,B14,$E$7:$E$106)-SUMIF($B$7:$B$106,B14,$F$7:$F$106))&lt;0.5,"OK","ERROR: Dr≠Cr"))</f>
        <v>OK</v>
      </c>
      <c r="K14" s="51" t="s">
        <v>215</v>
      </c>
    </row>
    <row r="15" customFormat="false" ht="15" hidden="false" customHeight="true" outlineLevel="0" collapsed="false">
      <c r="B15" s="47" t="s">
        <v>120</v>
      </c>
      <c r="C15" s="48" t="s">
        <v>216</v>
      </c>
      <c r="D15" s="48" t="s">
        <v>202</v>
      </c>
      <c r="E15" s="49" t="n">
        <v>125000</v>
      </c>
      <c r="F15" s="49"/>
      <c r="G15" s="47" t="s">
        <v>69</v>
      </c>
      <c r="H15" s="47"/>
      <c r="I15" s="50" t="str">
        <f aca="false">IF(B15="","",IF(ABS(SUMIF($B$7:$B$106,B15,$E$7:$E$106)-SUMIF($B$7:$B$106,B15,$F$7:$F$106))&lt;0.5,"OK","ERROR: Dr≠Cr"))</f>
        <v>OK</v>
      </c>
      <c r="K15" s="55" t="s">
        <v>217</v>
      </c>
    </row>
    <row r="16" customFormat="false" ht="15" hidden="false" customHeight="true" outlineLevel="0" collapsed="false">
      <c r="B16" s="52" t="s">
        <v>120</v>
      </c>
      <c r="C16" s="53"/>
      <c r="D16" s="53" t="s">
        <v>196</v>
      </c>
      <c r="E16" s="54"/>
      <c r="F16" s="54" t="n">
        <v>125000</v>
      </c>
      <c r="G16" s="52" t="s">
        <v>203</v>
      </c>
      <c r="H16" s="52" t="s">
        <v>197</v>
      </c>
      <c r="I16" s="50" t="str">
        <f aca="false">IF(B16="","",IF(ABS(SUMIF($B$7:$B$106,B16,$E$7:$E$106)-SUMIF($B$7:$B$106,B16,$F$7:$F$106))&lt;0.5,"OK","ERROR: Dr≠Cr"))</f>
        <v>OK</v>
      </c>
      <c r="K16" s="55" t="s">
        <v>218</v>
      </c>
    </row>
    <row r="17" customFormat="false" ht="15" hidden="false" customHeight="true" outlineLevel="0" collapsed="false">
      <c r="B17" s="47" t="s">
        <v>219</v>
      </c>
      <c r="C17" s="48" t="s">
        <v>220</v>
      </c>
      <c r="D17" s="48" t="s">
        <v>196</v>
      </c>
      <c r="E17" s="49" t="n">
        <v>600000</v>
      </c>
      <c r="F17" s="49"/>
      <c r="G17" s="47" t="s">
        <v>69</v>
      </c>
      <c r="H17" s="47" t="s">
        <v>221</v>
      </c>
      <c r="I17" s="50" t="str">
        <f aca="false">IF(B17="","",IF(ABS(SUMIF($B$7:$B$106,B17,$E$7:$E$106)-SUMIF($B$7:$B$106,B17,$F$7:$F$106))&lt;0.5,"OK","ERROR: Dr≠Cr"))</f>
        <v>OK</v>
      </c>
      <c r="K17" s="51" t="s">
        <v>222</v>
      </c>
    </row>
    <row r="18" customFormat="false" ht="21.75" hidden="false" customHeight="true" outlineLevel="0" collapsed="false">
      <c r="B18" s="52" t="s">
        <v>219</v>
      </c>
      <c r="C18" s="53"/>
      <c r="D18" s="53" t="s">
        <v>223</v>
      </c>
      <c r="E18" s="54"/>
      <c r="F18" s="54" t="n">
        <v>600000</v>
      </c>
      <c r="G18" s="52" t="s">
        <v>72</v>
      </c>
      <c r="H18" s="52"/>
      <c r="I18" s="50" t="str">
        <f aca="false">IF(B18="","",IF(ABS(SUMIF($B$7:$B$106,B18,$E$7:$E$106)-SUMIF($B$7:$B$106,B18,$F$7:$F$106))&lt;0.5,"OK","ERROR: Dr≠Cr"))</f>
        <v>OK</v>
      </c>
      <c r="K18" s="55" t="s">
        <v>224</v>
      </c>
    </row>
    <row r="19" customFormat="false" ht="15" hidden="false" customHeight="true" outlineLevel="0" collapsed="false">
      <c r="B19" s="47" t="s">
        <v>225</v>
      </c>
      <c r="C19" s="48" t="s">
        <v>226</v>
      </c>
      <c r="D19" s="48" t="s">
        <v>227</v>
      </c>
      <c r="E19" s="49" t="n">
        <v>900000</v>
      </c>
      <c r="F19" s="49"/>
      <c r="G19" s="47" t="s">
        <v>69</v>
      </c>
      <c r="H19" s="47"/>
      <c r="I19" s="50" t="str">
        <f aca="false">IF(B19="","",IF(ABS(SUMIF($B$7:$B$106,B19,$E$7:$E$106)-SUMIF($B$7:$B$106,B19,$F$7:$F$106))&lt;0.5,"OK","ERROR: Dr≠Cr"))</f>
        <v>OK</v>
      </c>
    </row>
    <row r="20" customFormat="false" ht="15" hidden="false" customHeight="true" outlineLevel="0" collapsed="false">
      <c r="B20" s="52" t="s">
        <v>225</v>
      </c>
      <c r="C20" s="53"/>
      <c r="D20" s="53" t="s">
        <v>196</v>
      </c>
      <c r="E20" s="54"/>
      <c r="F20" s="54" t="n">
        <v>900000</v>
      </c>
      <c r="G20" s="52" t="s">
        <v>203</v>
      </c>
      <c r="H20" s="52" t="s">
        <v>197</v>
      </c>
      <c r="I20" s="50" t="str">
        <f aca="false">IF(B20="","",IF(ABS(SUMIF($B$7:$B$106,B20,$E$7:$E$106)-SUMIF($B$7:$B$106,B20,$F$7:$F$106))&lt;0.5,"OK","ERROR: Dr≠Cr"))</f>
        <v>OK</v>
      </c>
    </row>
    <row r="21" customFormat="false" ht="15" hidden="false" customHeight="true" outlineLevel="0" collapsed="false">
      <c r="B21" s="47" t="s">
        <v>228</v>
      </c>
      <c r="C21" s="48" t="s">
        <v>229</v>
      </c>
      <c r="D21" s="48" t="s">
        <v>227</v>
      </c>
      <c r="E21" s="49" t="n">
        <v>30000</v>
      </c>
      <c r="F21" s="49"/>
      <c r="G21" s="47" t="s">
        <v>69</v>
      </c>
      <c r="H21" s="47"/>
      <c r="I21" s="50" t="str">
        <f aca="false">IF(B21="","",IF(ABS(SUMIF($B$7:$B$106,B21,$E$7:$E$106)-SUMIF($B$7:$B$106,B21,$F$7:$F$106))&lt;0.5,"OK","ERROR: Dr≠Cr"))</f>
        <v>OK</v>
      </c>
    </row>
    <row r="22" customFormat="false" ht="15" hidden="false" customHeight="true" outlineLevel="0" collapsed="false">
      <c r="B22" s="52" t="s">
        <v>228</v>
      </c>
      <c r="C22" s="53"/>
      <c r="D22" s="53" t="s">
        <v>196</v>
      </c>
      <c r="E22" s="54"/>
      <c r="F22" s="54" t="n">
        <v>30000</v>
      </c>
      <c r="G22" s="52" t="s">
        <v>203</v>
      </c>
      <c r="H22" s="52" t="s">
        <v>230</v>
      </c>
      <c r="I22" s="50" t="str">
        <f aca="false">IF(B22="","",IF(ABS(SUMIF($B$7:$B$106,B22,$E$7:$E$106)-SUMIF($B$7:$B$106,B22,$F$7:$F$106))&lt;0.5,"OK","ERROR: Dr≠Cr"))</f>
        <v>OK</v>
      </c>
    </row>
    <row r="23" customFormat="false" ht="15" hidden="false" customHeight="true" outlineLevel="0" collapsed="false">
      <c r="B23" s="47" t="s">
        <v>231</v>
      </c>
      <c r="C23" s="48" t="s">
        <v>232</v>
      </c>
      <c r="D23" s="48" t="s">
        <v>223</v>
      </c>
      <c r="E23" s="49" t="n">
        <v>30000</v>
      </c>
      <c r="F23" s="49"/>
      <c r="G23" s="47" t="s">
        <v>233</v>
      </c>
      <c r="H23" s="47"/>
      <c r="I23" s="50" t="str">
        <f aca="false">IF(B23="","",IF(ABS(SUMIF($B$7:$B$106,B23,$E$7:$E$106)-SUMIF($B$7:$B$106,B23,$F$7:$F$106))&lt;0.5,"OK","ERROR: Dr≠Cr"))</f>
        <v>OK</v>
      </c>
    </row>
    <row r="24" customFormat="false" ht="15" hidden="false" customHeight="true" outlineLevel="0" collapsed="false">
      <c r="B24" s="52" t="s">
        <v>231</v>
      </c>
      <c r="C24" s="53"/>
      <c r="D24" s="53" t="s">
        <v>196</v>
      </c>
      <c r="E24" s="54"/>
      <c r="F24" s="54" t="n">
        <v>30000</v>
      </c>
      <c r="G24" s="52" t="s">
        <v>203</v>
      </c>
      <c r="H24" s="52" t="s">
        <v>221</v>
      </c>
      <c r="I24" s="50" t="str">
        <f aca="false">IF(B24="","",IF(ABS(SUMIF($B$7:$B$106,B24,$E$7:$E$106)-SUMIF($B$7:$B$106,B24,$F$7:$F$106))&lt;0.5,"OK","ERROR: Dr≠Cr"))</f>
        <v>OK</v>
      </c>
    </row>
    <row r="25" customFormat="false" ht="15" hidden="false" customHeight="true" outlineLevel="0" collapsed="false">
      <c r="B25" s="47" t="s">
        <v>234</v>
      </c>
      <c r="C25" s="48" t="s">
        <v>235</v>
      </c>
      <c r="D25" s="48" t="s">
        <v>205</v>
      </c>
      <c r="E25" s="49" t="n">
        <v>620000</v>
      </c>
      <c r="F25" s="49"/>
      <c r="G25" s="47" t="s">
        <v>69</v>
      </c>
      <c r="H25" s="47" t="s">
        <v>212</v>
      </c>
      <c r="I25" s="50" t="str">
        <f aca="false">IF(B25="","",IF(ABS(SUMIF($B$7:$B$106,B25,$E$7:$E$106)-SUMIF($B$7:$B$106,B25,$F$7:$F$106))&lt;0.5,"OK","ERROR: Dr≠Cr"))</f>
        <v>OK</v>
      </c>
    </row>
    <row r="26" customFormat="false" ht="15" hidden="false" customHeight="true" outlineLevel="0" collapsed="false">
      <c r="B26" s="52" t="s">
        <v>234</v>
      </c>
      <c r="C26" s="53"/>
      <c r="D26" s="53" t="s">
        <v>236</v>
      </c>
      <c r="E26" s="54" t="n">
        <v>310000</v>
      </c>
      <c r="F26" s="54"/>
      <c r="G26" s="52" t="s">
        <v>69</v>
      </c>
      <c r="H26" s="52"/>
      <c r="I26" s="50" t="str">
        <f aca="false">IF(B26="","",IF(ABS(SUMIF($B$7:$B$106,B26,$E$7:$E$106)-SUMIF($B$7:$B$106,B26,$F$7:$F$106))&lt;0.5,"OK","ERROR: Dr≠Cr"))</f>
        <v>OK</v>
      </c>
    </row>
    <row r="27" customFormat="false" ht="15" hidden="false" customHeight="true" outlineLevel="0" collapsed="false">
      <c r="B27" s="47" t="s">
        <v>234</v>
      </c>
      <c r="C27" s="48"/>
      <c r="D27" s="48" t="s">
        <v>227</v>
      </c>
      <c r="E27" s="49"/>
      <c r="F27" s="49" t="n">
        <v>930000</v>
      </c>
      <c r="G27" s="47" t="s">
        <v>203</v>
      </c>
      <c r="H27" s="47"/>
      <c r="I27" s="50" t="str">
        <f aca="false">IF(B27="","",IF(ABS(SUMIF($B$7:$B$106,B27,$E$7:$E$106)-SUMIF($B$7:$B$106,B27,$F$7:$F$106))&lt;0.5,"OK","ERROR: Dr≠Cr"))</f>
        <v>OK</v>
      </c>
    </row>
    <row r="28" customFormat="false" ht="15" hidden="false" customHeight="true" outlineLevel="0" collapsed="false">
      <c r="B28" s="52" t="s">
        <v>128</v>
      </c>
      <c r="C28" s="53" t="s">
        <v>237</v>
      </c>
      <c r="D28" s="53" t="s">
        <v>238</v>
      </c>
      <c r="E28" s="54" t="n">
        <v>8000</v>
      </c>
      <c r="F28" s="54"/>
      <c r="G28" s="52" t="s">
        <v>239</v>
      </c>
      <c r="H28" s="52"/>
      <c r="I28" s="50" t="str">
        <f aca="false">IF(B28="","",IF(ABS(SUMIF($B$7:$B$106,B28,$E$7:$E$106)-SUMIF($B$7:$B$106,B28,$F$7:$F$106))&lt;0.5,"OK","ERROR: Dr≠Cr"))</f>
        <v>OK</v>
      </c>
    </row>
    <row r="29" customFormat="false" ht="15" hidden="false" customHeight="true" outlineLevel="0" collapsed="false">
      <c r="B29" s="47" t="s">
        <v>128</v>
      </c>
      <c r="C29" s="48"/>
      <c r="D29" s="48" t="s">
        <v>196</v>
      </c>
      <c r="E29" s="49"/>
      <c r="F29" s="49" t="n">
        <v>8000</v>
      </c>
      <c r="G29" s="47" t="s">
        <v>203</v>
      </c>
      <c r="H29" s="47" t="s">
        <v>230</v>
      </c>
      <c r="I29" s="50" t="str">
        <f aca="false">IF(B29="","",IF(ABS(SUMIF($B$7:$B$106,B29,$E$7:$E$106)-SUMIF($B$7:$B$106,B29,$F$7:$F$106))&lt;0.5,"OK","ERROR: Dr≠Cr"))</f>
        <v>OK</v>
      </c>
    </row>
    <row r="30" customFormat="false" ht="15" hidden="false" customHeight="true" outlineLevel="0" collapsed="false">
      <c r="B30" s="52" t="s">
        <v>132</v>
      </c>
      <c r="C30" s="53" t="s">
        <v>240</v>
      </c>
      <c r="D30" s="53" t="s">
        <v>236</v>
      </c>
      <c r="E30" s="54" t="n">
        <v>40000</v>
      </c>
      <c r="F30" s="54"/>
      <c r="G30" s="52" t="s">
        <v>69</v>
      </c>
      <c r="H30" s="52"/>
      <c r="I30" s="50" t="str">
        <f aca="false">IF(B30="","",IF(ABS(SUMIF($B$7:$B$106,B30,$E$7:$E$106)-SUMIF($B$7:$B$106,B30,$F$7:$F$106))&lt;0.5,"OK","ERROR: Dr≠Cr"))</f>
        <v>OK</v>
      </c>
    </row>
    <row r="31" customFormat="false" ht="15" hidden="false" customHeight="true" outlineLevel="0" collapsed="false">
      <c r="B31" s="47" t="s">
        <v>132</v>
      </c>
      <c r="C31" s="48"/>
      <c r="D31" s="48" t="s">
        <v>196</v>
      </c>
      <c r="E31" s="49"/>
      <c r="F31" s="49" t="n">
        <v>40000</v>
      </c>
      <c r="G31" s="47" t="s">
        <v>203</v>
      </c>
      <c r="H31" s="47" t="s">
        <v>197</v>
      </c>
      <c r="I31" s="50" t="str">
        <f aca="false">IF(B31="","",IF(ABS(SUMIF($B$7:$B$106,B31,$E$7:$E$106)-SUMIF($B$7:$B$106,B31,$F$7:$F$106))&lt;0.5,"OK","ERROR: Dr≠Cr"))</f>
        <v>OK</v>
      </c>
    </row>
    <row r="32" customFormat="false" ht="15" hidden="false" customHeight="true" outlineLevel="0" collapsed="false">
      <c r="B32" s="52" t="s">
        <v>241</v>
      </c>
      <c r="C32" s="53" t="s">
        <v>242</v>
      </c>
      <c r="D32" s="53" t="s">
        <v>236</v>
      </c>
      <c r="E32" s="54" t="n">
        <v>196600</v>
      </c>
      <c r="F32" s="54"/>
      <c r="G32" s="52" t="s">
        <v>69</v>
      </c>
      <c r="H32" s="52"/>
      <c r="I32" s="50" t="str">
        <f aca="false">IF(B32="","",IF(ABS(SUMIF($B$7:$B$106,B32,$E$7:$E$106)-SUMIF($B$7:$B$106,B32,$F$7:$F$106))&lt;0.5,"OK","ERROR: Dr≠Cr"))</f>
        <v>OK</v>
      </c>
    </row>
    <row r="33" customFormat="false" ht="15" hidden="false" customHeight="true" outlineLevel="0" collapsed="false">
      <c r="B33" s="47" t="s">
        <v>241</v>
      </c>
      <c r="C33" s="48"/>
      <c r="D33" s="48" t="s">
        <v>196</v>
      </c>
      <c r="E33" s="49"/>
      <c r="F33" s="49" t="n">
        <v>196600</v>
      </c>
      <c r="G33" s="47" t="s">
        <v>203</v>
      </c>
      <c r="H33" s="47" t="s">
        <v>197</v>
      </c>
      <c r="I33" s="50" t="str">
        <f aca="false">IF(B33="","",IF(ABS(SUMIF($B$7:$B$106,B33,$E$7:$E$106)-SUMIF($B$7:$B$106,B33,$F$7:$F$106))&lt;0.5,"OK","ERROR: Dr≠Cr"))</f>
        <v>OK</v>
      </c>
    </row>
    <row r="34" customFormat="false" ht="15" hidden="false" customHeight="true" outlineLevel="0" collapsed="false">
      <c r="B34" s="52" t="s">
        <v>243</v>
      </c>
      <c r="C34" s="53" t="s">
        <v>244</v>
      </c>
      <c r="D34" s="53" t="s">
        <v>236</v>
      </c>
      <c r="E34" s="54" t="n">
        <v>3000</v>
      </c>
      <c r="F34" s="54"/>
      <c r="G34" s="52" t="s">
        <v>69</v>
      </c>
      <c r="H34" s="52" t="s">
        <v>212</v>
      </c>
      <c r="I34" s="50" t="str">
        <f aca="false">IF(B34="","",IF(ABS(SUMIF($B$7:$B$106,B34,$E$7:$E$106)-SUMIF($B$7:$B$106,B34,$F$7:$F$106))&lt;0.5,"OK","ERROR: Dr≠Cr"))</f>
        <v>OK</v>
      </c>
    </row>
    <row r="35" customFormat="false" ht="15" hidden="false" customHeight="true" outlineLevel="0" collapsed="false">
      <c r="B35" s="47" t="s">
        <v>243</v>
      </c>
      <c r="C35" s="48" t="s">
        <v>245</v>
      </c>
      <c r="D35" s="48" t="s">
        <v>246</v>
      </c>
      <c r="E35" s="49"/>
      <c r="F35" s="49" t="n">
        <v>3000</v>
      </c>
      <c r="G35" s="47" t="s">
        <v>209</v>
      </c>
      <c r="H35" s="47"/>
      <c r="I35" s="50" t="str">
        <f aca="false">IF(B35="","",IF(ABS(SUMIF($B$7:$B$106,B35,$E$7:$E$106)-SUMIF($B$7:$B$106,B35,$F$7:$F$106))&lt;0.5,"OK","ERROR: Dr≠Cr"))</f>
        <v>OK</v>
      </c>
    </row>
    <row r="36" customFormat="false" ht="15" hidden="false" customHeight="true" outlineLevel="0" collapsed="false">
      <c r="B36" s="52" t="s">
        <v>247</v>
      </c>
      <c r="C36" s="53" t="s">
        <v>248</v>
      </c>
      <c r="D36" s="53" t="s">
        <v>249</v>
      </c>
      <c r="E36" s="54" t="n">
        <v>28500</v>
      </c>
      <c r="F36" s="54"/>
      <c r="G36" s="52" t="s">
        <v>239</v>
      </c>
      <c r="H36" s="52"/>
      <c r="I36" s="50" t="str">
        <f aca="false">IF(B36="","",IF(ABS(SUMIF($B$7:$B$106,B36,$E$7:$E$106)-SUMIF($B$7:$B$106,B36,$F$7:$F$106))&lt;0.5,"OK","ERROR: Dr≠Cr"))</f>
        <v>OK</v>
      </c>
    </row>
    <row r="37" customFormat="false" ht="15" hidden="false" customHeight="true" outlineLevel="0" collapsed="false">
      <c r="B37" s="47" t="s">
        <v>247</v>
      </c>
      <c r="C37" s="48"/>
      <c r="D37" s="48" t="s">
        <v>196</v>
      </c>
      <c r="E37" s="49"/>
      <c r="F37" s="49" t="n">
        <v>28500</v>
      </c>
      <c r="G37" s="47" t="s">
        <v>203</v>
      </c>
      <c r="H37" s="47" t="s">
        <v>230</v>
      </c>
      <c r="I37" s="50" t="str">
        <f aca="false">IF(B37="","",IF(ABS(SUMIF($B$7:$B$106,B37,$E$7:$E$106)-SUMIF($B$7:$B$106,B37,$F$7:$F$106))&lt;0.5,"OK","ERROR: Dr≠Cr"))</f>
        <v>OK</v>
      </c>
    </row>
    <row r="38" customFormat="false" ht="15" hidden="false" customHeight="true" outlineLevel="0" collapsed="false">
      <c r="B38" s="52" t="s">
        <v>250</v>
      </c>
      <c r="C38" s="53" t="s">
        <v>251</v>
      </c>
      <c r="D38" s="53" t="s">
        <v>223</v>
      </c>
      <c r="E38" s="54" t="n">
        <v>30000</v>
      </c>
      <c r="F38" s="54"/>
      <c r="G38" s="52" t="s">
        <v>233</v>
      </c>
      <c r="H38" s="52"/>
      <c r="I38" s="50" t="str">
        <f aca="false">IF(B38="","",IF(ABS(SUMIF($B$7:$B$106,B38,$E$7:$E$106)-SUMIF($B$7:$B$106,B38,$F$7:$F$106))&lt;0.5,"OK","ERROR: Dr≠Cr"))</f>
        <v>OK</v>
      </c>
    </row>
    <row r="39" customFormat="false" ht="15" hidden="false" customHeight="true" outlineLevel="0" collapsed="false">
      <c r="B39" s="47" t="s">
        <v>250</v>
      </c>
      <c r="C39" s="48"/>
      <c r="D39" s="48" t="s">
        <v>196</v>
      </c>
      <c r="E39" s="49"/>
      <c r="F39" s="49" t="n">
        <v>30000</v>
      </c>
      <c r="G39" s="47" t="s">
        <v>203</v>
      </c>
      <c r="H39" s="47" t="s">
        <v>221</v>
      </c>
      <c r="I39" s="50" t="str">
        <f aca="false">IF(B39="","",IF(ABS(SUMIF($B$7:$B$106,B39,$E$7:$E$106)-SUMIF($B$7:$B$106,B39,$F$7:$F$106))&lt;0.5,"OK","ERROR: Dr≠Cr"))</f>
        <v>OK</v>
      </c>
    </row>
    <row r="40" customFormat="false" ht="15" hidden="false" customHeight="true" outlineLevel="0" collapsed="false">
      <c r="B40" s="52" t="s">
        <v>252</v>
      </c>
      <c r="C40" s="53" t="s">
        <v>253</v>
      </c>
      <c r="D40" s="53" t="s">
        <v>254</v>
      </c>
      <c r="E40" s="54" t="n">
        <v>62000</v>
      </c>
      <c r="F40" s="54"/>
      <c r="G40" s="52" t="s">
        <v>239</v>
      </c>
      <c r="H40" s="52" t="s">
        <v>212</v>
      </c>
      <c r="I40" s="50" t="str">
        <f aca="false">IF(B40="","",IF(ABS(SUMIF($B$7:$B$106,B40,$E$7:$E$106)-SUMIF($B$7:$B$106,B40,$F$7:$F$106))&lt;0.5,"OK","ERROR: Dr≠Cr"))</f>
        <v>OK</v>
      </c>
    </row>
    <row r="41" customFormat="false" ht="15" hidden="false" customHeight="true" outlineLevel="0" collapsed="false">
      <c r="B41" s="47" t="s">
        <v>252</v>
      </c>
      <c r="C41" s="48"/>
      <c r="D41" s="48" t="s">
        <v>199</v>
      </c>
      <c r="E41" s="49"/>
      <c r="F41" s="49" t="n">
        <v>31000</v>
      </c>
      <c r="G41" s="47" t="s">
        <v>255</v>
      </c>
      <c r="H41" s="47"/>
      <c r="I41" s="50" t="str">
        <f aca="false">IF(B41="","",IF(ABS(SUMIF($B$7:$B$106,B41,$E$7:$E$106)-SUMIF($B$7:$B$106,B41,$F$7:$F$106))&lt;0.5,"OK","ERROR: Dr≠Cr"))</f>
        <v>OK</v>
      </c>
    </row>
    <row r="42" customFormat="false" ht="15" hidden="false" customHeight="true" outlineLevel="0" collapsed="false">
      <c r="B42" s="52" t="s">
        <v>252</v>
      </c>
      <c r="C42" s="53"/>
      <c r="D42" s="53" t="s">
        <v>256</v>
      </c>
      <c r="E42" s="54"/>
      <c r="F42" s="54" t="n">
        <v>31000</v>
      </c>
      <c r="G42" s="52" t="s">
        <v>255</v>
      </c>
      <c r="H42" s="52"/>
      <c r="I42" s="50" t="str">
        <f aca="false">IF(B42="","",IF(ABS(SUMIF($B$7:$B$106,B42,$E$7:$E$106)-SUMIF($B$7:$B$106,B42,$F$7:$F$106))&lt;0.5,"OK","ERROR: Dr≠Cr"))</f>
        <v>OK</v>
      </c>
    </row>
    <row r="43" customFormat="false" ht="15" hidden="false" customHeight="true" outlineLevel="0" collapsed="false">
      <c r="B43" s="47" t="s">
        <v>257</v>
      </c>
      <c r="C43" s="48" t="s">
        <v>258</v>
      </c>
      <c r="D43" s="48" t="s">
        <v>259</v>
      </c>
      <c r="E43" s="49" t="n">
        <v>1000000</v>
      </c>
      <c r="F43" s="49"/>
      <c r="G43" s="47" t="s">
        <v>69</v>
      </c>
      <c r="H43" s="47"/>
      <c r="I43" s="50" t="str">
        <f aca="false">IF(B43="","",IF(ABS(SUMIF($B$7:$B$106,B43,$E$7:$E$106)-SUMIF($B$7:$B$106,B43,$F$7:$F$106))&lt;0.5,"OK","ERROR: Dr≠Cr"))</f>
        <v>OK</v>
      </c>
    </row>
    <row r="44" customFormat="false" ht="15" hidden="false" customHeight="true" outlineLevel="0" collapsed="false">
      <c r="B44" s="52" t="s">
        <v>257</v>
      </c>
      <c r="C44" s="53"/>
      <c r="D44" s="53" t="s">
        <v>196</v>
      </c>
      <c r="E44" s="54"/>
      <c r="F44" s="54" t="n">
        <v>1000000</v>
      </c>
      <c r="G44" s="52" t="s">
        <v>203</v>
      </c>
      <c r="H44" s="52" t="s">
        <v>197</v>
      </c>
      <c r="I44" s="50" t="str">
        <f aca="false">IF(B44="","",IF(ABS(SUMIF($B$7:$B$106,B44,$E$7:$E$106)-SUMIF($B$7:$B$106,B44,$F$7:$F$106))&lt;0.5,"OK","ERROR: Dr≠Cr"))</f>
        <v>OK</v>
      </c>
    </row>
    <row r="45" customFormat="false" ht="15" hidden="false" customHeight="true" outlineLevel="0" collapsed="false">
      <c r="B45" s="47" t="s">
        <v>260</v>
      </c>
      <c r="C45" s="48" t="s">
        <v>261</v>
      </c>
      <c r="D45" s="48" t="s">
        <v>262</v>
      </c>
      <c r="E45" s="49" t="n">
        <v>420000</v>
      </c>
      <c r="F45" s="49"/>
      <c r="G45" s="47" t="s">
        <v>69</v>
      </c>
      <c r="H45" s="47" t="s">
        <v>212</v>
      </c>
      <c r="I45" s="50" t="str">
        <f aca="false">IF(B45="","",IF(ABS(SUMIF($B$7:$B$106,B45,$E$7:$E$106)-SUMIF($B$7:$B$106,B45,$F$7:$F$106))&lt;0.5,"OK","ERROR: Dr≠Cr"))</f>
        <v>OK</v>
      </c>
    </row>
    <row r="46" customFormat="false" ht="15" hidden="false" customHeight="true" outlineLevel="0" collapsed="false">
      <c r="B46" s="52" t="s">
        <v>260</v>
      </c>
      <c r="C46" s="53" t="s">
        <v>263</v>
      </c>
      <c r="D46" s="53" t="s">
        <v>246</v>
      </c>
      <c r="E46" s="54"/>
      <c r="F46" s="54" t="n">
        <v>420000</v>
      </c>
      <c r="G46" s="52" t="s">
        <v>209</v>
      </c>
      <c r="H46" s="52"/>
      <c r="I46" s="50" t="str">
        <f aca="false">IF(B46="","",IF(ABS(SUMIF($B$7:$B$106,B46,$E$7:$E$106)-SUMIF($B$7:$B$106,B46,$F$7:$F$106))&lt;0.5,"OK","ERROR: Dr≠Cr"))</f>
        <v>OK</v>
      </c>
    </row>
    <row r="47" customFormat="false" ht="15" hidden="false" customHeight="true" outlineLevel="0" collapsed="false">
      <c r="B47" s="47" t="s">
        <v>144</v>
      </c>
      <c r="C47" s="48" t="s">
        <v>264</v>
      </c>
      <c r="D47" s="48" t="s">
        <v>265</v>
      </c>
      <c r="E47" s="49" t="n">
        <v>224000</v>
      </c>
      <c r="F47" s="49"/>
      <c r="G47" s="47" t="s">
        <v>239</v>
      </c>
      <c r="H47" s="47"/>
      <c r="I47" s="50" t="str">
        <f aca="false">IF(B47="","",IF(ABS(SUMIF($B$7:$B$106,B47,$E$7:$E$106)-SUMIF($B$7:$B$106,B47,$F$7:$F$106))&lt;0.5,"OK","ERROR: Dr≠Cr"))</f>
        <v>OK</v>
      </c>
    </row>
    <row r="48" customFormat="false" ht="15" hidden="false" customHeight="true" outlineLevel="0" collapsed="false">
      <c r="B48" s="52" t="s">
        <v>144</v>
      </c>
      <c r="C48" s="53"/>
      <c r="D48" s="53" t="s">
        <v>196</v>
      </c>
      <c r="E48" s="54"/>
      <c r="F48" s="54" t="n">
        <v>224000</v>
      </c>
      <c r="G48" s="52" t="s">
        <v>203</v>
      </c>
      <c r="H48" s="52" t="s">
        <v>230</v>
      </c>
      <c r="I48" s="50" t="str">
        <f aca="false">IF(B48="","",IF(ABS(SUMIF($B$7:$B$106,B48,$E$7:$E$106)-SUMIF($B$7:$B$106,B48,$F$7:$F$106))&lt;0.5,"OK","ERROR: Dr≠Cr"))</f>
        <v>OK</v>
      </c>
    </row>
    <row r="49" customFormat="false" ht="15" hidden="false" customHeight="true" outlineLevel="0" collapsed="false">
      <c r="B49" s="47" t="s">
        <v>148</v>
      </c>
      <c r="C49" s="48" t="s">
        <v>266</v>
      </c>
      <c r="D49" s="48" t="s">
        <v>267</v>
      </c>
      <c r="E49" s="49"/>
      <c r="F49" s="49"/>
      <c r="G49" s="47"/>
      <c r="H49" s="47"/>
      <c r="I49" s="50" t="str">
        <f aca="false">IF(B49="","",IF(ABS(SUMIF($B$7:$B$106,B49,$E$7:$E$106)-SUMIF($B$7:$B$106,B49,$F$7:$F$106))&lt;0.5,"OK","ERROR: Dr≠Cr"))</f>
        <v>OK</v>
      </c>
    </row>
    <row r="50" customFormat="false" ht="15" hidden="false" customHeight="true" outlineLevel="0" collapsed="false">
      <c r="B50" s="52" t="s">
        <v>268</v>
      </c>
      <c r="C50" s="53" t="s">
        <v>269</v>
      </c>
      <c r="D50" s="53" t="s">
        <v>249</v>
      </c>
      <c r="E50" s="54" t="n">
        <v>27000</v>
      </c>
      <c r="F50" s="54"/>
      <c r="G50" s="52" t="s">
        <v>239</v>
      </c>
      <c r="H50" s="52"/>
      <c r="I50" s="50" t="str">
        <f aca="false">IF(B50="","",IF(ABS(SUMIF($B$7:$B$106,B50,$E$7:$E$106)-SUMIF($B$7:$B$106,B50,$F$7:$F$106))&lt;0.5,"OK","ERROR: Dr≠Cr"))</f>
        <v>OK</v>
      </c>
    </row>
    <row r="51" customFormat="false" ht="15" hidden="false" customHeight="true" outlineLevel="0" collapsed="false">
      <c r="B51" s="47" t="s">
        <v>268</v>
      </c>
      <c r="C51" s="48"/>
      <c r="D51" s="48" t="s">
        <v>196</v>
      </c>
      <c r="E51" s="49"/>
      <c r="F51" s="49" t="n">
        <v>27000</v>
      </c>
      <c r="G51" s="47" t="s">
        <v>203</v>
      </c>
      <c r="H51" s="47" t="s">
        <v>230</v>
      </c>
      <c r="I51" s="50" t="str">
        <f aca="false">IF(B51="","",IF(ABS(SUMIF($B$7:$B$106,B51,$E$7:$E$106)-SUMIF($B$7:$B$106,B51,$F$7:$F$106))&lt;0.5,"OK","ERROR: Dr≠Cr"))</f>
        <v>OK</v>
      </c>
    </row>
    <row r="52" customFormat="false" ht="15" hidden="false" customHeight="true" outlineLevel="0" collapsed="false">
      <c r="B52" s="52" t="s">
        <v>270</v>
      </c>
      <c r="C52" s="53" t="s">
        <v>271</v>
      </c>
      <c r="D52" s="53" t="s">
        <v>223</v>
      </c>
      <c r="E52" s="54" t="n">
        <v>30000</v>
      </c>
      <c r="F52" s="54"/>
      <c r="G52" s="52" t="s">
        <v>233</v>
      </c>
      <c r="H52" s="52"/>
      <c r="I52" s="50" t="str">
        <f aca="false">IF(B52="","",IF(ABS(SUMIF($B$7:$B$106,B52,$E$7:$E$106)-SUMIF($B$7:$B$106,B52,$F$7:$F$106))&lt;0.5,"OK","ERROR: Dr≠Cr"))</f>
        <v>OK</v>
      </c>
    </row>
    <row r="53" customFormat="false" ht="15" hidden="false" customHeight="true" outlineLevel="0" collapsed="false">
      <c r="B53" s="47" t="s">
        <v>270</v>
      </c>
      <c r="C53" s="48"/>
      <c r="D53" s="48" t="s">
        <v>196</v>
      </c>
      <c r="E53" s="49"/>
      <c r="F53" s="49" t="n">
        <v>30000</v>
      </c>
      <c r="G53" s="47" t="s">
        <v>203</v>
      </c>
      <c r="H53" s="47" t="s">
        <v>221</v>
      </c>
      <c r="I53" s="50" t="str">
        <f aca="false">IF(B53="","",IF(ABS(SUMIF($B$7:$B$106,B53,$E$7:$E$106)-SUMIF($B$7:$B$106,B53,$F$7:$F$106))&lt;0.5,"OK","ERROR: Dr≠Cr"))</f>
        <v>OK</v>
      </c>
    </row>
    <row r="54" customFormat="false" ht="15" hidden="false" customHeight="true" outlineLevel="0" collapsed="false">
      <c r="B54" s="52" t="s">
        <v>272</v>
      </c>
      <c r="C54" s="53" t="s">
        <v>273</v>
      </c>
      <c r="D54" s="53" t="s">
        <v>254</v>
      </c>
      <c r="E54" s="54" t="n">
        <v>66000</v>
      </c>
      <c r="F54" s="54"/>
      <c r="G54" s="52" t="s">
        <v>239</v>
      </c>
      <c r="H54" s="52" t="s">
        <v>212</v>
      </c>
      <c r="I54" s="50" t="str">
        <f aca="false">IF(B54="","",IF(ABS(SUMIF($B$7:$B$106,B54,$E$7:$E$106)-SUMIF($B$7:$B$106,B54,$F$7:$F$106))&lt;0.5,"OK","ERROR: Dr≠Cr"))</f>
        <v>OK</v>
      </c>
    </row>
    <row r="55" customFormat="false" ht="15" hidden="false" customHeight="true" outlineLevel="0" collapsed="false">
      <c r="B55" s="47" t="s">
        <v>272</v>
      </c>
      <c r="C55" s="48"/>
      <c r="D55" s="48" t="s">
        <v>199</v>
      </c>
      <c r="E55" s="49"/>
      <c r="F55" s="49" t="n">
        <v>31000</v>
      </c>
      <c r="G55" s="47" t="s">
        <v>255</v>
      </c>
      <c r="H55" s="47"/>
      <c r="I55" s="50" t="str">
        <f aca="false">IF(B55="","",IF(ABS(SUMIF($B$7:$B$106,B55,$E$7:$E$106)-SUMIF($B$7:$B$106,B55,$F$7:$F$106))&lt;0.5,"OK","ERROR: Dr≠Cr"))</f>
        <v>OK</v>
      </c>
    </row>
    <row r="56" customFormat="false" ht="15" hidden="false" customHeight="true" outlineLevel="0" collapsed="false">
      <c r="B56" s="52" t="s">
        <v>272</v>
      </c>
      <c r="C56" s="53"/>
      <c r="D56" s="53" t="s">
        <v>256</v>
      </c>
      <c r="E56" s="54"/>
      <c r="F56" s="54" t="n">
        <v>35000</v>
      </c>
      <c r="G56" s="52" t="s">
        <v>255</v>
      </c>
      <c r="H56" s="52"/>
      <c r="I56" s="50" t="str">
        <f aca="false">IF(B56="","",IF(ABS(SUMIF($B$7:$B$106,B56,$E$7:$E$106)-SUMIF($B$7:$B$106,B56,$F$7:$F$106))&lt;0.5,"OK","ERROR: Dr≠Cr"))</f>
        <v>OK</v>
      </c>
    </row>
    <row r="57" customFormat="false" ht="15" hidden="false" customHeight="true" outlineLevel="0" collapsed="false">
      <c r="B57" s="47" t="s">
        <v>274</v>
      </c>
      <c r="C57" s="48" t="s">
        <v>275</v>
      </c>
      <c r="D57" s="48" t="s">
        <v>276</v>
      </c>
      <c r="E57" s="49" t="n">
        <v>142000</v>
      </c>
      <c r="F57" s="49"/>
      <c r="G57" s="47" t="s">
        <v>239</v>
      </c>
      <c r="H57" s="47" t="s">
        <v>212</v>
      </c>
      <c r="I57" s="50" t="str">
        <f aca="false">IF(B57="","",IF(ABS(SUMIF($B$7:$B$106,B57,$E$7:$E$106)-SUMIF($B$7:$B$106,B57,$F$7:$F$106))&lt;0.5,"OK","ERROR: Dr≠Cr"))</f>
        <v>OK</v>
      </c>
    </row>
    <row r="58" customFormat="false" ht="15" hidden="false" customHeight="true" outlineLevel="0" collapsed="false">
      <c r="B58" s="52" t="s">
        <v>274</v>
      </c>
      <c r="C58" s="53"/>
      <c r="D58" s="53" t="s">
        <v>277</v>
      </c>
      <c r="E58" s="54"/>
      <c r="F58" s="54" t="n">
        <v>142000</v>
      </c>
      <c r="G58" s="52" t="s">
        <v>255</v>
      </c>
      <c r="H58" s="52"/>
      <c r="I58" s="50" t="str">
        <f aca="false">IF(B58="","",IF(ABS(SUMIF($B$7:$B$106,B58,$E$7:$E$106)-SUMIF($B$7:$B$106,B58,$F$7:$F$106))&lt;0.5,"OK","ERROR: Dr≠Cr"))</f>
        <v>OK</v>
      </c>
    </row>
    <row r="59" customFormat="false" ht="15" hidden="false" customHeight="true" outlineLevel="0" collapsed="false">
      <c r="B59" s="47" t="s">
        <v>152</v>
      </c>
      <c r="C59" s="48" t="s">
        <v>278</v>
      </c>
      <c r="D59" s="48" t="s">
        <v>279</v>
      </c>
      <c r="E59" s="49" t="n">
        <v>278000</v>
      </c>
      <c r="F59" s="49"/>
      <c r="G59" s="47" t="s">
        <v>239</v>
      </c>
      <c r="H59" s="47" t="s">
        <v>212</v>
      </c>
      <c r="I59" s="50" t="str">
        <f aca="false">IF(B59="","",IF(ABS(SUMIF($B$7:$B$106,B59,$E$7:$E$106)-SUMIF($B$7:$B$106,B59,$F$7:$F$106))&lt;0.5,"OK","ERROR: Dr≠Cr"))</f>
        <v>OK</v>
      </c>
    </row>
    <row r="60" customFormat="false" ht="15" hidden="false" customHeight="true" outlineLevel="0" collapsed="false">
      <c r="B60" s="52" t="s">
        <v>152</v>
      </c>
      <c r="C60" s="53"/>
      <c r="D60" s="53" t="s">
        <v>277</v>
      </c>
      <c r="E60" s="54"/>
      <c r="F60" s="54" t="n">
        <v>278000</v>
      </c>
      <c r="G60" s="52" t="s">
        <v>255</v>
      </c>
      <c r="H60" s="52"/>
      <c r="I60" s="50" t="str">
        <f aca="false">IF(B60="","",IF(ABS(SUMIF($B$7:$B$106,B60,$E$7:$E$106)-SUMIF($B$7:$B$106,B60,$F$7:$F$106))&lt;0.5,"OK","ERROR: Dr≠Cr"))</f>
        <v>OK</v>
      </c>
    </row>
    <row r="61" customFormat="false" ht="15" hidden="false" customHeight="true" outlineLevel="0" collapsed="false">
      <c r="B61" s="47"/>
      <c r="C61" s="48"/>
      <c r="D61" s="48"/>
      <c r="E61" s="49"/>
      <c r="F61" s="49"/>
      <c r="G61" s="47"/>
      <c r="H61" s="47"/>
      <c r="I61" s="50" t="str">
        <f aca="false">IF(B61="","",IF(ABS(SUMIF($B$7:$B$106,B61,$E$7:$E$106)-SUMIF($B$7:$B$106,B61,$F$7:$F$106))&lt;0.5,"OK","ERROR: Dr≠Cr"))</f>
        <v/>
      </c>
    </row>
    <row r="62" customFormat="false" ht="15" hidden="false" customHeight="true" outlineLevel="0" collapsed="false">
      <c r="B62" s="52"/>
      <c r="C62" s="53"/>
      <c r="D62" s="53"/>
      <c r="E62" s="54"/>
      <c r="F62" s="54"/>
      <c r="G62" s="52"/>
      <c r="H62" s="52"/>
      <c r="I62" s="50" t="str">
        <f aca="false">IF(B62="","",IF(ABS(SUMIF($B$7:$B$106,B62,$E$7:$E$106)-SUMIF($B$7:$B$106,B62,$F$7:$F$106))&lt;0.5,"OK","ERROR: Dr≠Cr"))</f>
        <v/>
      </c>
    </row>
    <row r="63" customFormat="false" ht="15" hidden="false" customHeight="true" outlineLevel="0" collapsed="false">
      <c r="B63" s="47"/>
      <c r="C63" s="48"/>
      <c r="D63" s="48"/>
      <c r="E63" s="49"/>
      <c r="F63" s="49"/>
      <c r="G63" s="47"/>
      <c r="H63" s="47"/>
      <c r="I63" s="50" t="str">
        <f aca="false">IF(B63="","",IF(ABS(SUMIF($B$7:$B$106,B63,$E$7:$E$106)-SUMIF($B$7:$B$106,B63,$F$7:$F$106))&lt;0.5,"OK","ERROR: Dr≠Cr"))</f>
        <v/>
      </c>
    </row>
    <row r="64" customFormat="false" ht="15" hidden="false" customHeight="true" outlineLevel="0" collapsed="false">
      <c r="B64" s="52"/>
      <c r="C64" s="53"/>
      <c r="D64" s="53"/>
      <c r="E64" s="54"/>
      <c r="F64" s="54"/>
      <c r="G64" s="52"/>
      <c r="H64" s="52"/>
      <c r="I64" s="50" t="str">
        <f aca="false">IF(B64="","",IF(ABS(SUMIF($B$7:$B$106,B64,$E$7:$E$106)-SUMIF($B$7:$B$106,B64,$F$7:$F$106))&lt;0.5,"OK","ERROR: Dr≠Cr"))</f>
        <v/>
      </c>
    </row>
    <row r="65" customFormat="false" ht="15" hidden="false" customHeight="true" outlineLevel="0" collapsed="false">
      <c r="B65" s="47"/>
      <c r="C65" s="48"/>
      <c r="D65" s="48"/>
      <c r="E65" s="49"/>
      <c r="F65" s="49"/>
      <c r="G65" s="47"/>
      <c r="H65" s="47"/>
      <c r="I65" s="50" t="str">
        <f aca="false">IF(B65="","",IF(ABS(SUMIF($B$7:$B$106,B65,$E$7:$E$106)-SUMIF($B$7:$B$106,B65,$F$7:$F$106))&lt;0.5,"OK","ERROR: Dr≠Cr"))</f>
        <v/>
      </c>
    </row>
    <row r="66" customFormat="false" ht="15" hidden="false" customHeight="true" outlineLevel="0" collapsed="false">
      <c r="B66" s="52"/>
      <c r="C66" s="53"/>
      <c r="D66" s="53"/>
      <c r="E66" s="54"/>
      <c r="F66" s="54"/>
      <c r="G66" s="52"/>
      <c r="H66" s="52"/>
      <c r="I66" s="50" t="str">
        <f aca="false">IF(B66="","",IF(ABS(SUMIF($B$7:$B$106,B66,$E$7:$E$106)-SUMIF($B$7:$B$106,B66,$F$7:$F$106))&lt;0.5,"OK","ERROR: Dr≠Cr"))</f>
        <v/>
      </c>
    </row>
    <row r="67" customFormat="false" ht="15" hidden="false" customHeight="true" outlineLevel="0" collapsed="false">
      <c r="B67" s="47"/>
      <c r="C67" s="48"/>
      <c r="D67" s="48"/>
      <c r="E67" s="49"/>
      <c r="F67" s="49"/>
      <c r="G67" s="47"/>
      <c r="H67" s="47"/>
      <c r="I67" s="50" t="str">
        <f aca="false">IF(B67="","",IF(ABS(SUMIF($B$7:$B$106,B67,$E$7:$E$106)-SUMIF($B$7:$B$106,B67,$F$7:$F$106))&lt;0.5,"OK","ERROR: Dr≠Cr"))</f>
        <v/>
      </c>
    </row>
    <row r="68" customFormat="false" ht="15" hidden="false" customHeight="true" outlineLevel="0" collapsed="false">
      <c r="B68" s="52"/>
      <c r="C68" s="53"/>
      <c r="D68" s="53"/>
      <c r="E68" s="54"/>
      <c r="F68" s="54"/>
      <c r="G68" s="52"/>
      <c r="H68" s="52"/>
      <c r="I68" s="50" t="str">
        <f aca="false">IF(B68="","",IF(ABS(SUMIF($B$7:$B$106,B68,$E$7:$E$106)-SUMIF($B$7:$B$106,B68,$F$7:$F$106))&lt;0.5,"OK","ERROR: Dr≠Cr"))</f>
        <v/>
      </c>
    </row>
    <row r="69" customFormat="false" ht="15" hidden="false" customHeight="true" outlineLevel="0" collapsed="false">
      <c r="B69" s="47"/>
      <c r="C69" s="48"/>
      <c r="D69" s="48"/>
      <c r="E69" s="49"/>
      <c r="F69" s="49"/>
      <c r="G69" s="47"/>
      <c r="H69" s="47"/>
      <c r="I69" s="50" t="str">
        <f aca="false">IF(B69="","",IF(ABS(SUMIF($B$7:$B$106,B69,$E$7:$E$106)-SUMIF($B$7:$B$106,B69,$F$7:$F$106))&lt;0.5,"OK","ERROR: Dr≠Cr"))</f>
        <v/>
      </c>
    </row>
    <row r="70" customFormat="false" ht="15" hidden="false" customHeight="true" outlineLevel="0" collapsed="false">
      <c r="B70" s="52"/>
      <c r="C70" s="53"/>
      <c r="D70" s="53"/>
      <c r="E70" s="54"/>
      <c r="F70" s="54"/>
      <c r="G70" s="52"/>
      <c r="H70" s="52"/>
      <c r="I70" s="50" t="str">
        <f aca="false">IF(B70="","",IF(ABS(SUMIF($B$7:$B$106,B70,$E$7:$E$106)-SUMIF($B$7:$B$106,B70,$F$7:$F$106))&lt;0.5,"OK","ERROR: Dr≠Cr"))</f>
        <v/>
      </c>
    </row>
    <row r="71" customFormat="false" ht="15" hidden="false" customHeight="true" outlineLevel="0" collapsed="false">
      <c r="B71" s="47"/>
      <c r="C71" s="48"/>
      <c r="D71" s="48"/>
      <c r="E71" s="49"/>
      <c r="F71" s="49"/>
      <c r="G71" s="47"/>
      <c r="H71" s="47"/>
      <c r="I71" s="50" t="str">
        <f aca="false">IF(B71="","",IF(ABS(SUMIF($B$7:$B$106,B71,$E$7:$E$106)-SUMIF($B$7:$B$106,B71,$F$7:$F$106))&lt;0.5,"OK","ERROR: Dr≠Cr"))</f>
        <v/>
      </c>
    </row>
    <row r="72" customFormat="false" ht="15" hidden="false" customHeight="true" outlineLevel="0" collapsed="false">
      <c r="B72" s="52"/>
      <c r="C72" s="53"/>
      <c r="D72" s="53"/>
      <c r="E72" s="54"/>
      <c r="F72" s="54"/>
      <c r="G72" s="52"/>
      <c r="H72" s="52"/>
      <c r="I72" s="50" t="str">
        <f aca="false">IF(B72="","",IF(ABS(SUMIF($B$7:$B$106,B72,$E$7:$E$106)-SUMIF($B$7:$B$106,B72,$F$7:$F$106))&lt;0.5,"OK","ERROR: Dr≠Cr"))</f>
        <v/>
      </c>
    </row>
    <row r="73" customFormat="false" ht="15" hidden="false" customHeight="true" outlineLevel="0" collapsed="false">
      <c r="B73" s="47"/>
      <c r="C73" s="48"/>
      <c r="D73" s="48"/>
      <c r="E73" s="49"/>
      <c r="F73" s="49"/>
      <c r="G73" s="47"/>
      <c r="H73" s="47"/>
      <c r="I73" s="50" t="str">
        <f aca="false">IF(B73="","",IF(ABS(SUMIF($B$7:$B$106,B73,$E$7:$E$106)-SUMIF($B$7:$B$106,B73,$F$7:$F$106))&lt;0.5,"OK","ERROR: Dr≠Cr"))</f>
        <v/>
      </c>
    </row>
    <row r="74" customFormat="false" ht="15" hidden="false" customHeight="true" outlineLevel="0" collapsed="false">
      <c r="B74" s="52"/>
      <c r="C74" s="53"/>
      <c r="D74" s="53"/>
      <c r="E74" s="54"/>
      <c r="F74" s="54"/>
      <c r="G74" s="52"/>
      <c r="H74" s="52"/>
      <c r="I74" s="50" t="str">
        <f aca="false">IF(B74="","",IF(ABS(SUMIF($B$7:$B$106,B74,$E$7:$E$106)-SUMIF($B$7:$B$106,B74,$F$7:$F$106))&lt;0.5,"OK","ERROR: Dr≠Cr"))</f>
        <v/>
      </c>
    </row>
    <row r="75" customFormat="false" ht="15" hidden="false" customHeight="true" outlineLevel="0" collapsed="false">
      <c r="B75" s="47"/>
      <c r="C75" s="48"/>
      <c r="D75" s="48"/>
      <c r="E75" s="49"/>
      <c r="F75" s="49"/>
      <c r="G75" s="47"/>
      <c r="H75" s="47"/>
      <c r="I75" s="50" t="str">
        <f aca="false">IF(B75="","",IF(ABS(SUMIF($B$7:$B$106,B75,$E$7:$E$106)-SUMIF($B$7:$B$106,B75,$F$7:$F$106))&lt;0.5,"OK","ERROR: Dr≠Cr"))</f>
        <v/>
      </c>
    </row>
    <row r="76" customFormat="false" ht="15" hidden="false" customHeight="true" outlineLevel="0" collapsed="false">
      <c r="B76" s="52"/>
      <c r="C76" s="53"/>
      <c r="D76" s="53"/>
      <c r="E76" s="54"/>
      <c r="F76" s="54"/>
      <c r="G76" s="52"/>
      <c r="H76" s="52"/>
      <c r="I76" s="50" t="str">
        <f aca="false">IF(B76="","",IF(ABS(SUMIF($B$7:$B$106,B76,$E$7:$E$106)-SUMIF($B$7:$B$106,B76,$F$7:$F$106))&lt;0.5,"OK","ERROR: Dr≠Cr"))</f>
        <v/>
      </c>
    </row>
    <row r="77" customFormat="false" ht="15" hidden="false" customHeight="true" outlineLevel="0" collapsed="false">
      <c r="B77" s="47"/>
      <c r="C77" s="48"/>
      <c r="D77" s="48"/>
      <c r="E77" s="49"/>
      <c r="F77" s="49"/>
      <c r="G77" s="47"/>
      <c r="H77" s="47"/>
      <c r="I77" s="50" t="str">
        <f aca="false">IF(B77="","",IF(ABS(SUMIF($B$7:$B$106,B77,$E$7:$E$106)-SUMIF($B$7:$B$106,B77,$F$7:$F$106))&lt;0.5,"OK","ERROR: Dr≠Cr"))</f>
        <v/>
      </c>
    </row>
    <row r="78" customFormat="false" ht="15" hidden="false" customHeight="true" outlineLevel="0" collapsed="false">
      <c r="B78" s="52"/>
      <c r="C78" s="53"/>
      <c r="D78" s="53"/>
      <c r="E78" s="54"/>
      <c r="F78" s="54"/>
      <c r="G78" s="52"/>
      <c r="H78" s="52"/>
      <c r="I78" s="50" t="str">
        <f aca="false">IF(B78="","",IF(ABS(SUMIF($B$7:$B$106,B78,$E$7:$E$106)-SUMIF($B$7:$B$106,B78,$F$7:$F$106))&lt;0.5,"OK","ERROR: Dr≠Cr"))</f>
        <v/>
      </c>
    </row>
    <row r="79" customFormat="false" ht="15" hidden="false" customHeight="true" outlineLevel="0" collapsed="false">
      <c r="B79" s="47"/>
      <c r="C79" s="48"/>
      <c r="D79" s="48"/>
      <c r="E79" s="49"/>
      <c r="F79" s="49"/>
      <c r="G79" s="47"/>
      <c r="H79" s="47"/>
      <c r="I79" s="50" t="str">
        <f aca="false">IF(B79="","",IF(ABS(SUMIF($B$7:$B$106,B79,$E$7:$E$106)-SUMIF($B$7:$B$106,B79,$F$7:$F$106))&lt;0.5,"OK","ERROR: Dr≠Cr"))</f>
        <v/>
      </c>
    </row>
    <row r="80" customFormat="false" ht="15" hidden="false" customHeight="true" outlineLevel="0" collapsed="false">
      <c r="B80" s="52"/>
      <c r="C80" s="53"/>
      <c r="D80" s="53"/>
      <c r="E80" s="54"/>
      <c r="F80" s="54"/>
      <c r="G80" s="52"/>
      <c r="H80" s="52"/>
      <c r="I80" s="50" t="str">
        <f aca="false">IF(B80="","",IF(ABS(SUMIF($B$7:$B$106,B80,$E$7:$E$106)-SUMIF($B$7:$B$106,B80,$F$7:$F$106))&lt;0.5,"OK","ERROR: Dr≠Cr"))</f>
        <v/>
      </c>
    </row>
    <row r="81" customFormat="false" ht="15" hidden="false" customHeight="true" outlineLevel="0" collapsed="false">
      <c r="B81" s="47"/>
      <c r="C81" s="48"/>
      <c r="D81" s="48"/>
      <c r="E81" s="49"/>
      <c r="F81" s="49"/>
      <c r="G81" s="47"/>
      <c r="H81" s="47"/>
      <c r="I81" s="50" t="str">
        <f aca="false">IF(B81="","",IF(ABS(SUMIF($B$7:$B$106,B81,$E$7:$E$106)-SUMIF($B$7:$B$106,B81,$F$7:$F$106))&lt;0.5,"OK","ERROR: Dr≠Cr"))</f>
        <v/>
      </c>
    </row>
    <row r="82" customFormat="false" ht="15" hidden="false" customHeight="true" outlineLevel="0" collapsed="false">
      <c r="B82" s="52"/>
      <c r="C82" s="53"/>
      <c r="D82" s="53"/>
      <c r="E82" s="54"/>
      <c r="F82" s="54"/>
      <c r="G82" s="52"/>
      <c r="H82" s="52"/>
      <c r="I82" s="50" t="str">
        <f aca="false">IF(B82="","",IF(ABS(SUMIF($B$7:$B$106,B82,$E$7:$E$106)-SUMIF($B$7:$B$106,B82,$F$7:$F$106))&lt;0.5,"OK","ERROR: Dr≠Cr"))</f>
        <v/>
      </c>
    </row>
    <row r="83" customFormat="false" ht="15" hidden="false" customHeight="true" outlineLevel="0" collapsed="false">
      <c r="B83" s="47"/>
      <c r="C83" s="48"/>
      <c r="D83" s="48"/>
      <c r="E83" s="49"/>
      <c r="F83" s="49"/>
      <c r="G83" s="47"/>
      <c r="H83" s="47"/>
      <c r="I83" s="50" t="str">
        <f aca="false">IF(B83="","",IF(ABS(SUMIF($B$7:$B$106,B83,$E$7:$E$106)-SUMIF($B$7:$B$106,B83,$F$7:$F$106))&lt;0.5,"OK","ERROR: Dr≠Cr"))</f>
        <v/>
      </c>
    </row>
    <row r="84" customFormat="false" ht="15" hidden="false" customHeight="true" outlineLevel="0" collapsed="false">
      <c r="B84" s="52"/>
      <c r="C84" s="53"/>
      <c r="D84" s="53"/>
      <c r="E84" s="54"/>
      <c r="F84" s="54"/>
      <c r="G84" s="52"/>
      <c r="H84" s="52"/>
      <c r="I84" s="50" t="str">
        <f aca="false">IF(B84="","",IF(ABS(SUMIF($B$7:$B$106,B84,$E$7:$E$106)-SUMIF($B$7:$B$106,B84,$F$7:$F$106))&lt;0.5,"OK","ERROR: Dr≠Cr"))</f>
        <v/>
      </c>
    </row>
    <row r="85" customFormat="false" ht="15" hidden="false" customHeight="true" outlineLevel="0" collapsed="false">
      <c r="B85" s="47"/>
      <c r="C85" s="48"/>
      <c r="D85" s="48"/>
      <c r="E85" s="49"/>
      <c r="F85" s="49"/>
      <c r="G85" s="47"/>
      <c r="H85" s="47"/>
      <c r="I85" s="50" t="str">
        <f aca="false">IF(B85="","",IF(ABS(SUMIF($B$7:$B$106,B85,$E$7:$E$106)-SUMIF($B$7:$B$106,B85,$F$7:$F$106))&lt;0.5,"OK","ERROR: Dr≠Cr"))</f>
        <v/>
      </c>
    </row>
    <row r="86" customFormat="false" ht="15" hidden="false" customHeight="true" outlineLevel="0" collapsed="false">
      <c r="B86" s="52"/>
      <c r="C86" s="53"/>
      <c r="D86" s="53"/>
      <c r="E86" s="54"/>
      <c r="F86" s="54"/>
      <c r="G86" s="52"/>
      <c r="H86" s="52"/>
      <c r="I86" s="50" t="str">
        <f aca="false">IF(B86="","",IF(ABS(SUMIF($B$7:$B$106,B86,$E$7:$E$106)-SUMIF($B$7:$B$106,B86,$F$7:$F$106))&lt;0.5,"OK","ERROR: Dr≠Cr"))</f>
        <v/>
      </c>
    </row>
    <row r="87" customFormat="false" ht="15" hidden="false" customHeight="true" outlineLevel="0" collapsed="false">
      <c r="B87" s="47"/>
      <c r="C87" s="48"/>
      <c r="D87" s="48"/>
      <c r="E87" s="49"/>
      <c r="F87" s="49"/>
      <c r="G87" s="47"/>
      <c r="H87" s="47"/>
      <c r="I87" s="50" t="str">
        <f aca="false">IF(B87="","",IF(ABS(SUMIF($B$7:$B$106,B87,$E$7:$E$106)-SUMIF($B$7:$B$106,B87,$F$7:$F$106))&lt;0.5,"OK","ERROR: Dr≠Cr"))</f>
        <v/>
      </c>
    </row>
    <row r="88" customFormat="false" ht="15" hidden="false" customHeight="true" outlineLevel="0" collapsed="false">
      <c r="B88" s="52"/>
      <c r="C88" s="53"/>
      <c r="D88" s="53"/>
      <c r="E88" s="54"/>
      <c r="F88" s="54"/>
      <c r="G88" s="52"/>
      <c r="H88" s="52"/>
      <c r="I88" s="50" t="str">
        <f aca="false">IF(B88="","",IF(ABS(SUMIF($B$7:$B$106,B88,$E$7:$E$106)-SUMIF($B$7:$B$106,B88,$F$7:$F$106))&lt;0.5,"OK","ERROR: Dr≠Cr"))</f>
        <v/>
      </c>
    </row>
    <row r="89" customFormat="false" ht="15" hidden="false" customHeight="true" outlineLevel="0" collapsed="false">
      <c r="B89" s="47"/>
      <c r="C89" s="48"/>
      <c r="D89" s="48"/>
      <c r="E89" s="49"/>
      <c r="F89" s="49"/>
      <c r="G89" s="47"/>
      <c r="H89" s="47"/>
      <c r="I89" s="50" t="str">
        <f aca="false">IF(B89="","",IF(ABS(SUMIF($B$7:$B$106,B89,$E$7:$E$106)-SUMIF($B$7:$B$106,B89,$F$7:$F$106))&lt;0.5,"OK","ERROR: Dr≠Cr"))</f>
        <v/>
      </c>
    </row>
    <row r="90" customFormat="false" ht="15" hidden="false" customHeight="true" outlineLevel="0" collapsed="false">
      <c r="B90" s="52"/>
      <c r="C90" s="53"/>
      <c r="D90" s="53"/>
      <c r="E90" s="54"/>
      <c r="F90" s="54"/>
      <c r="G90" s="52"/>
      <c r="H90" s="52"/>
      <c r="I90" s="50" t="str">
        <f aca="false">IF(B90="","",IF(ABS(SUMIF($B$7:$B$106,B90,$E$7:$E$106)-SUMIF($B$7:$B$106,B90,$F$7:$F$106))&lt;0.5,"OK","ERROR: Dr≠Cr"))</f>
        <v/>
      </c>
    </row>
    <row r="91" customFormat="false" ht="15" hidden="false" customHeight="true" outlineLevel="0" collapsed="false">
      <c r="B91" s="47"/>
      <c r="C91" s="48"/>
      <c r="D91" s="48"/>
      <c r="E91" s="49"/>
      <c r="F91" s="49"/>
      <c r="G91" s="47"/>
      <c r="H91" s="47"/>
      <c r="I91" s="50" t="str">
        <f aca="false">IF(B91="","",IF(ABS(SUMIF($B$7:$B$106,B91,$E$7:$E$106)-SUMIF($B$7:$B$106,B91,$F$7:$F$106))&lt;0.5,"OK","ERROR: Dr≠Cr"))</f>
        <v/>
      </c>
    </row>
    <row r="92" customFormat="false" ht="15" hidden="false" customHeight="true" outlineLevel="0" collapsed="false">
      <c r="B92" s="52"/>
      <c r="C92" s="53"/>
      <c r="D92" s="53"/>
      <c r="E92" s="54"/>
      <c r="F92" s="54"/>
      <c r="G92" s="52"/>
      <c r="H92" s="52"/>
      <c r="I92" s="50" t="str">
        <f aca="false">IF(B92="","",IF(ABS(SUMIF($B$7:$B$106,B92,$E$7:$E$106)-SUMIF($B$7:$B$106,B92,$F$7:$F$106))&lt;0.5,"OK","ERROR: Dr≠Cr"))</f>
        <v/>
      </c>
    </row>
    <row r="93" customFormat="false" ht="15" hidden="false" customHeight="true" outlineLevel="0" collapsed="false">
      <c r="B93" s="47"/>
      <c r="C93" s="48"/>
      <c r="D93" s="48"/>
      <c r="E93" s="49"/>
      <c r="F93" s="49"/>
      <c r="G93" s="47"/>
      <c r="H93" s="47"/>
      <c r="I93" s="50" t="str">
        <f aca="false">IF(B93="","",IF(ABS(SUMIF($B$7:$B$106,B93,$E$7:$E$106)-SUMIF($B$7:$B$106,B93,$F$7:$F$106))&lt;0.5,"OK","ERROR: Dr≠Cr"))</f>
        <v/>
      </c>
    </row>
    <row r="94" customFormat="false" ht="15" hidden="false" customHeight="true" outlineLevel="0" collapsed="false">
      <c r="B94" s="52"/>
      <c r="C94" s="53"/>
      <c r="D94" s="53"/>
      <c r="E94" s="54"/>
      <c r="F94" s="54"/>
      <c r="G94" s="52"/>
      <c r="H94" s="52"/>
      <c r="I94" s="50" t="str">
        <f aca="false">IF(B94="","",IF(ABS(SUMIF($B$7:$B$106,B94,$E$7:$E$106)-SUMIF($B$7:$B$106,B94,$F$7:$F$106))&lt;0.5,"OK","ERROR: Dr≠Cr"))</f>
        <v/>
      </c>
    </row>
    <row r="95" customFormat="false" ht="15" hidden="false" customHeight="true" outlineLevel="0" collapsed="false">
      <c r="B95" s="47"/>
      <c r="C95" s="48"/>
      <c r="D95" s="48"/>
      <c r="E95" s="49"/>
      <c r="F95" s="49"/>
      <c r="G95" s="47"/>
      <c r="H95" s="47"/>
      <c r="I95" s="50" t="str">
        <f aca="false">IF(B95="","",IF(ABS(SUMIF($B$7:$B$106,B95,$E$7:$E$106)-SUMIF($B$7:$B$106,B95,$F$7:$F$106))&lt;0.5,"OK","ERROR: Dr≠Cr"))</f>
        <v/>
      </c>
    </row>
    <row r="96" customFormat="false" ht="15" hidden="false" customHeight="true" outlineLevel="0" collapsed="false">
      <c r="B96" s="52"/>
      <c r="C96" s="53"/>
      <c r="D96" s="53"/>
      <c r="E96" s="54"/>
      <c r="F96" s="54"/>
      <c r="G96" s="52"/>
      <c r="H96" s="52"/>
      <c r="I96" s="50" t="str">
        <f aca="false">IF(B96="","",IF(ABS(SUMIF($B$7:$B$106,B96,$E$7:$E$106)-SUMIF($B$7:$B$106,B96,$F$7:$F$106))&lt;0.5,"OK","ERROR: Dr≠Cr"))</f>
        <v/>
      </c>
    </row>
    <row r="97" customFormat="false" ht="15" hidden="false" customHeight="true" outlineLevel="0" collapsed="false">
      <c r="B97" s="47"/>
      <c r="C97" s="48"/>
      <c r="D97" s="48"/>
      <c r="E97" s="49"/>
      <c r="F97" s="49"/>
      <c r="G97" s="47"/>
      <c r="H97" s="47"/>
      <c r="I97" s="50" t="str">
        <f aca="false">IF(B97="","",IF(ABS(SUMIF($B$7:$B$106,B97,$E$7:$E$106)-SUMIF($B$7:$B$106,B97,$F$7:$F$106))&lt;0.5,"OK","ERROR: Dr≠Cr"))</f>
        <v/>
      </c>
    </row>
    <row r="98" customFormat="false" ht="15" hidden="false" customHeight="true" outlineLevel="0" collapsed="false">
      <c r="B98" s="52"/>
      <c r="C98" s="53"/>
      <c r="D98" s="53"/>
      <c r="E98" s="54"/>
      <c r="F98" s="54"/>
      <c r="G98" s="52"/>
      <c r="H98" s="52"/>
      <c r="I98" s="50" t="str">
        <f aca="false">IF(B98="","",IF(ABS(SUMIF($B$7:$B$106,B98,$E$7:$E$106)-SUMIF($B$7:$B$106,B98,$F$7:$F$106))&lt;0.5,"OK","ERROR: Dr≠Cr"))</f>
        <v/>
      </c>
    </row>
    <row r="99" customFormat="false" ht="15" hidden="false" customHeight="true" outlineLevel="0" collapsed="false">
      <c r="B99" s="47"/>
      <c r="C99" s="48"/>
      <c r="D99" s="48"/>
      <c r="E99" s="49"/>
      <c r="F99" s="49"/>
      <c r="G99" s="47"/>
      <c r="H99" s="47"/>
      <c r="I99" s="50" t="str">
        <f aca="false">IF(B99="","",IF(ABS(SUMIF($B$7:$B$106,B99,$E$7:$E$106)-SUMIF($B$7:$B$106,B99,$F$7:$F$106))&lt;0.5,"OK","ERROR: Dr≠Cr"))</f>
        <v/>
      </c>
    </row>
    <row r="100" customFormat="false" ht="15" hidden="false" customHeight="true" outlineLevel="0" collapsed="false">
      <c r="B100" s="52"/>
      <c r="C100" s="53"/>
      <c r="D100" s="53"/>
      <c r="E100" s="54"/>
      <c r="F100" s="54"/>
      <c r="G100" s="52"/>
      <c r="H100" s="52"/>
      <c r="I100" s="50" t="str">
        <f aca="false">IF(B100="","",IF(ABS(SUMIF($B$7:$B$106,B100,$E$7:$E$106)-SUMIF($B$7:$B$106,B100,$F$7:$F$106))&lt;0.5,"OK","ERROR: Dr≠Cr"))</f>
        <v/>
      </c>
    </row>
    <row r="101" customFormat="false" ht="15" hidden="false" customHeight="true" outlineLevel="0" collapsed="false">
      <c r="B101" s="47"/>
      <c r="C101" s="48"/>
      <c r="D101" s="48"/>
      <c r="E101" s="49"/>
      <c r="F101" s="49"/>
      <c r="G101" s="47"/>
      <c r="H101" s="47"/>
      <c r="I101" s="50" t="str">
        <f aca="false">IF(B101="","",IF(ABS(SUMIF($B$7:$B$106,B101,$E$7:$E$106)-SUMIF($B$7:$B$106,B101,$F$7:$F$106))&lt;0.5,"OK","ERROR: Dr≠Cr"))</f>
        <v/>
      </c>
    </row>
    <row r="102" customFormat="false" ht="15" hidden="false" customHeight="true" outlineLevel="0" collapsed="false">
      <c r="B102" s="52"/>
      <c r="C102" s="53"/>
      <c r="D102" s="53"/>
      <c r="E102" s="54"/>
      <c r="F102" s="54"/>
      <c r="G102" s="52"/>
      <c r="H102" s="52"/>
      <c r="I102" s="50" t="str">
        <f aca="false">IF(B102="","",IF(ABS(SUMIF($B$7:$B$106,B102,$E$7:$E$106)-SUMIF($B$7:$B$106,B102,$F$7:$F$106))&lt;0.5,"OK","ERROR: Dr≠Cr"))</f>
        <v/>
      </c>
    </row>
    <row r="103" customFormat="false" ht="15" hidden="false" customHeight="true" outlineLevel="0" collapsed="false">
      <c r="B103" s="47"/>
      <c r="C103" s="48"/>
      <c r="D103" s="48"/>
      <c r="E103" s="49"/>
      <c r="F103" s="49"/>
      <c r="G103" s="47"/>
      <c r="H103" s="47"/>
      <c r="I103" s="50" t="str">
        <f aca="false">IF(B103="","",IF(ABS(SUMIF($B$7:$B$106,B103,$E$7:$E$106)-SUMIF($B$7:$B$106,B103,$F$7:$F$106))&lt;0.5,"OK","ERROR: Dr≠Cr"))</f>
        <v/>
      </c>
    </row>
    <row r="104" customFormat="false" ht="15" hidden="false" customHeight="true" outlineLevel="0" collapsed="false">
      <c r="B104" s="52"/>
      <c r="C104" s="53"/>
      <c r="D104" s="53"/>
      <c r="E104" s="54"/>
      <c r="F104" s="54"/>
      <c r="G104" s="52"/>
      <c r="H104" s="52"/>
      <c r="I104" s="50" t="str">
        <f aca="false">IF(B104="","",IF(ABS(SUMIF($B$7:$B$106,B104,$E$7:$E$106)-SUMIF($B$7:$B$106,B104,$F$7:$F$106))&lt;0.5,"OK","ERROR: Dr≠Cr"))</f>
        <v/>
      </c>
    </row>
    <row r="105" customFormat="false" ht="15" hidden="false" customHeight="true" outlineLevel="0" collapsed="false">
      <c r="B105" s="47"/>
      <c r="C105" s="48"/>
      <c r="D105" s="48"/>
      <c r="E105" s="49"/>
      <c r="F105" s="49"/>
      <c r="G105" s="47"/>
      <c r="H105" s="47"/>
      <c r="I105" s="50" t="str">
        <f aca="false">IF(B105="","",IF(ABS(SUMIF($B$7:$B$106,B105,$E$7:$E$106)-SUMIF($B$7:$B$106,B105,$F$7:$F$106))&lt;0.5,"OK","ERROR: Dr≠Cr"))</f>
        <v/>
      </c>
    </row>
    <row r="106" customFormat="false" ht="15" hidden="false" customHeight="true" outlineLevel="0" collapsed="false">
      <c r="B106" s="52"/>
      <c r="C106" s="53"/>
      <c r="D106" s="53"/>
      <c r="E106" s="54"/>
      <c r="F106" s="54"/>
      <c r="G106" s="52"/>
      <c r="H106" s="52"/>
      <c r="I106" s="50" t="str">
        <f aca="false">IF(B106="","",IF(ABS(SUMIF($B$7:$B$106,B106,$E$7:$E$106)-SUMIF($B$7:$B$106,B106,$F$7:$F$106))&lt;0.5,"OK","ERROR: Dr≠Cr"))</f>
        <v/>
      </c>
    </row>
  </sheetData>
  <mergeCells count="4">
    <mergeCell ref="B1:I1"/>
    <mergeCell ref="C2:D2"/>
    <mergeCell ref="F2:G2"/>
    <mergeCell ref="G4:H4"/>
  </mergeCells>
  <conditionalFormatting sqref="G4">
    <cfRule type="expression" priority="2" aboveAverage="0" equalAverage="0" bottom="0" percent="0" rank="0" text="" dxfId="0">
      <formula>G4="OK"</formula>
    </cfRule>
    <cfRule type="expression" priority="3" aboveAverage="0" equalAverage="0" bottom="0" percent="0" rank="0" text="" dxfId="1">
      <formula>LEFT(G4,5)="ERROR"</formula>
    </cfRule>
  </conditionalFormatting>
  <conditionalFormatting sqref="I7:I106">
    <cfRule type="expression" priority="4" aboveAverage="0" equalAverage="0" bottom="0" percent="0" rank="0" text="" dxfId="0">
      <formula>I7="OK"</formula>
    </cfRule>
    <cfRule type="expression" priority="5" aboveAverage="0" equalAverage="0" bottom="0" percent="0" rank="0" text="" dxfId="1">
      <formula>LEFT(I7,5)="ERROR"</formula>
    </cfRule>
  </conditionalFormatting>
  <dataValidations count="3">
    <dataValidation allowBlank="true" errorStyle="stop" operator="between" showDropDown="false" showErrorMessage="false" showInputMessage="false" sqref="D7:D106" type="list">
      <formula1>Lists!$A$1:$A$28</formula1>
      <formula2>0</formula2>
    </dataValidation>
    <dataValidation allowBlank="true" errorStyle="stop" operator="between" showDropDown="false" showErrorMessage="false" showInputMessage="false" sqref="G7:G106" type="list">
      <formula1>Lists!$B$1:$B$10</formula1>
      <formula2>0</formula2>
    </dataValidation>
    <dataValidation allowBlank="true" errorStyle="stop" operator="between" showDropDown="false" showErrorMessage="false" showInputMessage="false" sqref="H7:H106" type="list">
      <formula1>Lists!$C$1:$C$4</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62E4E"/>
    <pageSetUpPr fitToPage="true"/>
  </sheetPr>
  <dimension ref="B1:W15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1" width="2"/>
    <col collapsed="false" customWidth="true" hidden="false" outlineLevel="0" max="2" min="2" style="1" width="4.5"/>
    <col collapsed="false" customWidth="true" hidden="false" outlineLevel="0" max="4" min="3" style="1" width="12"/>
    <col collapsed="false" customWidth="true" hidden="false" outlineLevel="0" max="5" min="5" style="1" width="4.5"/>
    <col collapsed="false" customWidth="true" hidden="false" outlineLevel="0" max="6" min="6" style="1" width="2"/>
    <col collapsed="false" customWidth="true" hidden="false" outlineLevel="0" max="7" min="7" style="1" width="4.5"/>
    <col collapsed="false" customWidth="true" hidden="false" outlineLevel="0" max="9" min="8" style="1" width="12"/>
    <col collapsed="false" customWidth="true" hidden="false" outlineLevel="0" max="10" min="10" style="1" width="4.5"/>
    <col collapsed="false" customWidth="true" hidden="false" outlineLevel="0" max="11" min="11" style="1" width="4"/>
    <col collapsed="false" customWidth="true" hidden="false" outlineLevel="0" max="12" min="12" style="1" width="2"/>
    <col collapsed="false" customWidth="true" hidden="false" outlineLevel="0" max="13" min="13" style="1" width="4.5"/>
    <col collapsed="false" customWidth="true" hidden="false" outlineLevel="0" max="15" min="14" style="1" width="12"/>
    <col collapsed="false" customWidth="true" hidden="false" outlineLevel="0" max="16" min="16" style="1" width="4.5"/>
    <col collapsed="false" customWidth="true" hidden="false" outlineLevel="0" max="17" min="17" style="1" width="2"/>
    <col collapsed="false" customWidth="true" hidden="false" outlineLevel="0" max="18" min="18" style="1" width="4.5"/>
    <col collapsed="false" customWidth="true" hidden="false" outlineLevel="0" max="20" min="19" style="1" width="12"/>
    <col collapsed="false" customWidth="true" hidden="false" outlineLevel="0" max="21" min="21" style="1" width="4.5"/>
    <col collapsed="false" customWidth="true" hidden="false" outlineLevel="0" max="22" min="22" style="1" width="3"/>
    <col collapsed="false" customWidth="true" hidden="false" outlineLevel="0" max="23" min="23" style="1" width="78"/>
  </cols>
  <sheetData>
    <row r="1" customFormat="false" ht="17.25" hidden="false" customHeight="true" outlineLevel="0" collapsed="false">
      <c r="B1" s="2" t="s">
        <v>280</v>
      </c>
      <c r="C1" s="2"/>
      <c r="D1" s="2"/>
      <c r="E1" s="2"/>
      <c r="F1" s="2"/>
      <c r="G1" s="2"/>
      <c r="H1" s="2"/>
      <c r="I1" s="2"/>
      <c r="J1" s="2"/>
      <c r="K1" s="2"/>
      <c r="L1" s="2"/>
      <c r="M1" s="2"/>
      <c r="N1" s="2"/>
      <c r="O1" s="2"/>
      <c r="P1" s="2"/>
      <c r="Q1" s="2"/>
      <c r="R1" s="2"/>
      <c r="S1" s="2"/>
      <c r="T1" s="2"/>
    </row>
    <row r="2" customFormat="false" ht="15" hidden="false" customHeight="true" outlineLevel="0" collapsed="false">
      <c r="B2" s="3" t="s">
        <v>184</v>
      </c>
      <c r="D2" s="41" t="str">
        <f aca="false">Guide!$C$3</f>
        <v>Laboratorios Dermolab</v>
      </c>
      <c r="E2" s="41"/>
      <c r="F2" s="41"/>
      <c r="G2" s="41"/>
      <c r="H2" s="41"/>
      <c r="I2" s="41"/>
      <c r="L2" s="3" t="s">
        <v>185</v>
      </c>
      <c r="N2" s="41" t="str">
        <f aca="false">Guide!$C$4</f>
        <v>2018–2021</v>
      </c>
      <c r="O2" s="41"/>
      <c r="P2" s="41"/>
      <c r="Q2" s="41"/>
      <c r="R2" s="41"/>
    </row>
    <row r="5" customFormat="false" ht="15" hidden="false" customHeight="true" outlineLevel="0" collapsed="false">
      <c r="B5" s="56" t="s">
        <v>281</v>
      </c>
      <c r="C5" s="56"/>
      <c r="D5" s="56"/>
      <c r="E5" s="56"/>
      <c r="F5" s="56"/>
      <c r="G5" s="56"/>
      <c r="H5" s="56"/>
      <c r="I5" s="56"/>
      <c r="J5" s="56"/>
      <c r="L5" s="57" t="s">
        <v>282</v>
      </c>
      <c r="M5" s="57"/>
      <c r="N5" s="57"/>
      <c r="O5" s="57"/>
      <c r="P5" s="57"/>
      <c r="Q5" s="57"/>
      <c r="R5" s="57"/>
      <c r="S5" s="57"/>
      <c r="T5" s="57"/>
      <c r="W5" s="46" t="s">
        <v>191</v>
      </c>
    </row>
    <row r="6" customFormat="false" ht="15" hidden="false" customHeight="true" outlineLevel="0" collapsed="false">
      <c r="W6" s="51" t="s">
        <v>283</v>
      </c>
    </row>
    <row r="7" customFormat="false" ht="15" hidden="false" customHeight="true" outlineLevel="0" collapsed="false">
      <c r="B7" s="58" t="s">
        <v>196</v>
      </c>
      <c r="C7" s="58"/>
      <c r="D7" s="58"/>
      <c r="E7" s="58"/>
      <c r="G7" s="58" t="s">
        <v>284</v>
      </c>
      <c r="H7" s="58"/>
      <c r="I7" s="58"/>
      <c r="J7" s="58"/>
      <c r="M7" s="59" t="s">
        <v>285</v>
      </c>
      <c r="N7" s="59"/>
      <c r="O7" s="59"/>
      <c r="P7" s="59"/>
      <c r="R7" s="59" t="s">
        <v>286</v>
      </c>
      <c r="S7" s="59"/>
      <c r="T7" s="59"/>
      <c r="U7" s="59"/>
      <c r="W7" s="55" t="s">
        <v>287</v>
      </c>
    </row>
    <row r="8" customFormat="false" ht="15" hidden="false" customHeight="true" outlineLevel="0" collapsed="false">
      <c r="B8" s="60" t="s">
        <v>107</v>
      </c>
      <c r="C8" s="61" t="s">
        <v>288</v>
      </c>
      <c r="D8" s="60" t="s">
        <v>289</v>
      </c>
      <c r="E8" s="60" t="s">
        <v>107</v>
      </c>
      <c r="G8" s="60" t="s">
        <v>107</v>
      </c>
      <c r="H8" s="61" t="s">
        <v>288</v>
      </c>
      <c r="I8" s="60" t="s">
        <v>289</v>
      </c>
      <c r="J8" s="60" t="s">
        <v>107</v>
      </c>
      <c r="M8" s="60" t="s">
        <v>107</v>
      </c>
      <c r="N8" s="61" t="s">
        <v>290</v>
      </c>
      <c r="O8" s="60" t="s">
        <v>291</v>
      </c>
      <c r="P8" s="60" t="s">
        <v>107</v>
      </c>
      <c r="R8" s="60" t="s">
        <v>107</v>
      </c>
      <c r="S8" s="61" t="s">
        <v>290</v>
      </c>
      <c r="T8" s="60" t="s">
        <v>291</v>
      </c>
      <c r="U8" s="60" t="s">
        <v>107</v>
      </c>
      <c r="W8" s="55" t="s">
        <v>292</v>
      </c>
    </row>
    <row r="9" customFormat="false" ht="15" hidden="false" customHeight="true" outlineLevel="0" collapsed="false">
      <c r="B9" s="62" t="s">
        <v>293</v>
      </c>
      <c r="C9" s="63"/>
      <c r="D9" s="64"/>
      <c r="E9" s="62"/>
      <c r="G9" s="62" t="s">
        <v>293</v>
      </c>
      <c r="H9" s="63"/>
      <c r="I9" s="64"/>
      <c r="J9" s="62"/>
      <c r="M9" s="62"/>
      <c r="N9" s="63"/>
      <c r="O9" s="64"/>
      <c r="P9" s="62" t="s">
        <v>293</v>
      </c>
      <c r="R9" s="62"/>
      <c r="S9" s="63"/>
      <c r="T9" s="64"/>
      <c r="U9" s="62" t="s">
        <v>293</v>
      </c>
      <c r="W9" s="55" t="s">
        <v>294</v>
      </c>
    </row>
    <row r="10" customFormat="false" ht="15" hidden="false" customHeight="true" outlineLevel="0" collapsed="false">
      <c r="B10" s="65" t="s">
        <v>116</v>
      </c>
      <c r="C10" s="66" t="n">
        <v>13000000</v>
      </c>
      <c r="D10" s="54" t="n">
        <v>125000</v>
      </c>
      <c r="E10" s="65" t="s">
        <v>120</v>
      </c>
      <c r="G10" s="65"/>
      <c r="H10" s="66"/>
      <c r="I10" s="54"/>
      <c r="J10" s="65"/>
      <c r="M10" s="65"/>
      <c r="N10" s="66"/>
      <c r="O10" s="54"/>
      <c r="P10" s="65"/>
      <c r="R10" s="65"/>
      <c r="S10" s="66"/>
      <c r="T10" s="54"/>
      <c r="U10" s="65"/>
      <c r="W10" s="51" t="s">
        <v>295</v>
      </c>
    </row>
    <row r="11" customFormat="false" ht="15" hidden="false" customHeight="true" outlineLevel="0" collapsed="false">
      <c r="B11" s="65" t="s">
        <v>219</v>
      </c>
      <c r="C11" s="66" t="n">
        <v>600000</v>
      </c>
      <c r="D11" s="54" t="n">
        <v>900000</v>
      </c>
      <c r="E11" s="65" t="s">
        <v>225</v>
      </c>
      <c r="G11" s="65"/>
      <c r="H11" s="66"/>
      <c r="I11" s="54"/>
      <c r="J11" s="65"/>
      <c r="M11" s="65"/>
      <c r="N11" s="66"/>
      <c r="O11" s="54"/>
      <c r="P11" s="65"/>
      <c r="R11" s="65"/>
      <c r="S11" s="66"/>
      <c r="T11" s="54"/>
      <c r="U11" s="65"/>
      <c r="W11" s="55" t="s">
        <v>296</v>
      </c>
    </row>
    <row r="12" customFormat="false" ht="15" hidden="false" customHeight="true" outlineLevel="0" collapsed="false">
      <c r="B12" s="65"/>
      <c r="C12" s="66"/>
      <c r="D12" s="54" t="n">
        <v>30000</v>
      </c>
      <c r="E12" s="65" t="s">
        <v>228</v>
      </c>
      <c r="G12" s="65"/>
      <c r="H12" s="66"/>
      <c r="I12" s="54"/>
      <c r="J12" s="65"/>
      <c r="M12" s="65"/>
      <c r="N12" s="66"/>
      <c r="O12" s="54"/>
      <c r="P12" s="65"/>
      <c r="R12" s="65"/>
      <c r="S12" s="66"/>
      <c r="T12" s="54"/>
      <c r="U12" s="65"/>
      <c r="W12" s="51" t="s">
        <v>297</v>
      </c>
    </row>
    <row r="13" customFormat="false" ht="15" hidden="false" customHeight="true" outlineLevel="0" collapsed="false">
      <c r="B13" s="65"/>
      <c r="C13" s="66"/>
      <c r="D13" s="54" t="n">
        <v>30000</v>
      </c>
      <c r="E13" s="65" t="s">
        <v>231</v>
      </c>
      <c r="G13" s="65"/>
      <c r="H13" s="66"/>
      <c r="I13" s="54"/>
      <c r="J13" s="65"/>
      <c r="M13" s="65"/>
      <c r="N13" s="66"/>
      <c r="O13" s="54"/>
      <c r="P13" s="65"/>
      <c r="R13" s="65"/>
      <c r="S13" s="66"/>
      <c r="T13" s="54"/>
      <c r="U13" s="65"/>
      <c r="W13" s="55" t="s">
        <v>298</v>
      </c>
    </row>
    <row r="14" customFormat="false" ht="15" hidden="false" customHeight="true" outlineLevel="0" collapsed="false">
      <c r="B14" s="65"/>
      <c r="C14" s="66"/>
      <c r="D14" s="54" t="n">
        <v>8000</v>
      </c>
      <c r="E14" s="65" t="s">
        <v>128</v>
      </c>
      <c r="G14" s="65"/>
      <c r="H14" s="66"/>
      <c r="I14" s="54"/>
      <c r="J14" s="65"/>
      <c r="M14" s="65"/>
      <c r="N14" s="66"/>
      <c r="O14" s="54"/>
      <c r="P14" s="65"/>
      <c r="R14" s="65"/>
      <c r="S14" s="66"/>
      <c r="T14" s="54"/>
      <c r="U14" s="65"/>
      <c r="W14" s="51" t="s">
        <v>299</v>
      </c>
    </row>
    <row r="15" customFormat="false" ht="21.75" hidden="false" customHeight="true" outlineLevel="0" collapsed="false">
      <c r="B15" s="65"/>
      <c r="C15" s="66"/>
      <c r="D15" s="54" t="n">
        <v>40000</v>
      </c>
      <c r="E15" s="65" t="s">
        <v>132</v>
      </c>
      <c r="G15" s="65"/>
      <c r="H15" s="66"/>
      <c r="I15" s="54"/>
      <c r="J15" s="65"/>
      <c r="M15" s="65"/>
      <c r="N15" s="66"/>
      <c r="O15" s="54"/>
      <c r="P15" s="65"/>
      <c r="R15" s="65"/>
      <c r="S15" s="66"/>
      <c r="T15" s="54"/>
      <c r="U15" s="65"/>
      <c r="W15" s="55" t="s">
        <v>300</v>
      </c>
    </row>
    <row r="16" customFormat="false" ht="15" hidden="false" customHeight="true" outlineLevel="0" collapsed="false">
      <c r="B16" s="65"/>
      <c r="C16" s="66"/>
      <c r="D16" s="54" t="n">
        <v>196600</v>
      </c>
      <c r="E16" s="65" t="s">
        <v>241</v>
      </c>
      <c r="G16" s="65"/>
      <c r="H16" s="66"/>
      <c r="I16" s="54"/>
      <c r="J16" s="65"/>
      <c r="M16" s="65"/>
      <c r="N16" s="66"/>
      <c r="O16" s="54"/>
      <c r="P16" s="65"/>
      <c r="R16" s="65"/>
      <c r="S16" s="66"/>
      <c r="T16" s="54"/>
      <c r="U16" s="65"/>
      <c r="W16" s="55" t="s">
        <v>301</v>
      </c>
    </row>
    <row r="17" customFormat="false" ht="15" hidden="false" customHeight="true" outlineLevel="0" collapsed="false">
      <c r="B17" s="65"/>
      <c r="C17" s="66"/>
      <c r="D17" s="54" t="n">
        <v>28500</v>
      </c>
      <c r="E17" s="65" t="s">
        <v>247</v>
      </c>
      <c r="G17" s="65"/>
      <c r="H17" s="66"/>
      <c r="I17" s="54"/>
      <c r="J17" s="65"/>
      <c r="M17" s="65"/>
      <c r="N17" s="66"/>
      <c r="O17" s="54"/>
      <c r="P17" s="65"/>
      <c r="R17" s="65"/>
      <c r="S17" s="66"/>
      <c r="T17" s="54"/>
      <c r="U17" s="65"/>
      <c r="W17" s="51" t="s">
        <v>302</v>
      </c>
    </row>
    <row r="18" customFormat="false" ht="21.75" hidden="false" customHeight="true" outlineLevel="0" collapsed="false">
      <c r="B18" s="65"/>
      <c r="C18" s="66"/>
      <c r="D18" s="54" t="n">
        <v>30000</v>
      </c>
      <c r="E18" s="65" t="s">
        <v>250</v>
      </c>
      <c r="G18" s="65"/>
      <c r="H18" s="66"/>
      <c r="I18" s="54"/>
      <c r="J18" s="65"/>
      <c r="M18" s="65"/>
      <c r="N18" s="66"/>
      <c r="O18" s="54"/>
      <c r="P18" s="65"/>
      <c r="R18" s="65"/>
      <c r="S18" s="66"/>
      <c r="T18" s="54"/>
      <c r="U18" s="65"/>
      <c r="W18" s="55" t="s">
        <v>303</v>
      </c>
    </row>
    <row r="19" customFormat="false" ht="21.75" hidden="false" customHeight="true" outlineLevel="0" collapsed="false">
      <c r="B19" s="65"/>
      <c r="C19" s="66"/>
      <c r="D19" s="54" t="n">
        <v>1000000</v>
      </c>
      <c r="E19" s="65" t="s">
        <v>257</v>
      </c>
      <c r="G19" s="65"/>
      <c r="H19" s="66"/>
      <c r="I19" s="54"/>
      <c r="J19" s="65"/>
      <c r="M19" s="65"/>
      <c r="N19" s="66"/>
      <c r="O19" s="54"/>
      <c r="P19" s="65"/>
      <c r="R19" s="65"/>
      <c r="S19" s="66"/>
      <c r="T19" s="54"/>
      <c r="U19" s="65"/>
      <c r="W19" s="55" t="s">
        <v>304</v>
      </c>
    </row>
    <row r="20" customFormat="false" ht="15" hidden="false" customHeight="true" outlineLevel="0" collapsed="false">
      <c r="B20" s="65"/>
      <c r="C20" s="66"/>
      <c r="D20" s="54" t="n">
        <v>224000</v>
      </c>
      <c r="E20" s="65" t="s">
        <v>144</v>
      </c>
      <c r="G20" s="65"/>
      <c r="H20" s="66"/>
      <c r="I20" s="54"/>
      <c r="J20" s="65"/>
      <c r="M20" s="65"/>
      <c r="N20" s="66"/>
      <c r="O20" s="54"/>
      <c r="P20" s="65"/>
      <c r="R20" s="65"/>
      <c r="S20" s="66"/>
      <c r="T20" s="54"/>
      <c r="U20" s="65"/>
      <c r="W20" s="51" t="s">
        <v>305</v>
      </c>
    </row>
    <row r="21" customFormat="false" ht="15" hidden="false" customHeight="true" outlineLevel="0" collapsed="false">
      <c r="B21" s="65"/>
      <c r="C21" s="66"/>
      <c r="D21" s="54" t="n">
        <v>27000</v>
      </c>
      <c r="E21" s="65" t="s">
        <v>268</v>
      </c>
      <c r="G21" s="65"/>
      <c r="H21" s="66"/>
      <c r="I21" s="54"/>
      <c r="J21" s="65"/>
      <c r="M21" s="65"/>
      <c r="N21" s="66"/>
      <c r="O21" s="54"/>
      <c r="P21" s="65"/>
      <c r="R21" s="65"/>
      <c r="S21" s="66"/>
      <c r="T21" s="54"/>
      <c r="U21" s="65"/>
      <c r="W21" s="55" t="s">
        <v>306</v>
      </c>
    </row>
    <row r="22" customFormat="false" ht="15" hidden="false" customHeight="true" outlineLevel="0" collapsed="false">
      <c r="B22" s="65"/>
      <c r="C22" s="66"/>
      <c r="D22" s="54" t="n">
        <v>30000</v>
      </c>
      <c r="E22" s="65" t="s">
        <v>270</v>
      </c>
      <c r="G22" s="65"/>
      <c r="H22" s="66"/>
      <c r="I22" s="54"/>
      <c r="J22" s="65"/>
      <c r="M22" s="65"/>
      <c r="N22" s="66"/>
      <c r="O22" s="54"/>
      <c r="P22" s="65"/>
      <c r="R22" s="65"/>
      <c r="S22" s="66"/>
      <c r="T22" s="54"/>
      <c r="U22" s="65"/>
      <c r="W22" s="55" t="s">
        <v>307</v>
      </c>
    </row>
    <row r="23" customFormat="false" ht="15" hidden="false" customHeight="true" outlineLevel="0" collapsed="false">
      <c r="B23" s="65"/>
      <c r="C23" s="66"/>
      <c r="D23" s="54"/>
      <c r="E23" s="65"/>
      <c r="G23" s="65"/>
      <c r="H23" s="66"/>
      <c r="I23" s="54"/>
      <c r="J23" s="65"/>
      <c r="M23" s="65"/>
      <c r="N23" s="66"/>
      <c r="O23" s="54"/>
      <c r="P23" s="65"/>
      <c r="R23" s="65"/>
      <c r="S23" s="66"/>
      <c r="T23" s="54"/>
      <c r="U23" s="65"/>
      <c r="W23" s="55" t="s">
        <v>308</v>
      </c>
    </row>
    <row r="24" customFormat="false" ht="15" hidden="false" customHeight="true" outlineLevel="0" collapsed="false">
      <c r="B24" s="65"/>
      <c r="C24" s="66"/>
      <c r="D24" s="54"/>
      <c r="E24" s="65"/>
      <c r="G24" s="65"/>
      <c r="H24" s="66"/>
      <c r="I24" s="54"/>
      <c r="J24" s="65"/>
      <c r="M24" s="65"/>
      <c r="N24" s="66"/>
      <c r="O24" s="54"/>
      <c r="P24" s="65"/>
      <c r="R24" s="65"/>
      <c r="S24" s="66"/>
      <c r="T24" s="54"/>
      <c r="U24" s="65"/>
      <c r="W24" s="55" t="s">
        <v>309</v>
      </c>
    </row>
    <row r="25" customFormat="false" ht="15" hidden="false" customHeight="true" outlineLevel="0" collapsed="false">
      <c r="B25" s="67" t="s">
        <v>310</v>
      </c>
      <c r="C25" s="68" t="n">
        <f aca="false">SUM(C9:C24)</f>
        <v>13600000</v>
      </c>
      <c r="D25" s="69" t="n">
        <f aca="false">SUM(D9:D24)</f>
        <v>2669100</v>
      </c>
      <c r="E25" s="67" t="s">
        <v>310</v>
      </c>
      <c r="G25" s="67" t="s">
        <v>310</v>
      </c>
      <c r="H25" s="68" t="n">
        <f aca="false">SUM(H9:H24)</f>
        <v>0</v>
      </c>
      <c r="I25" s="69" t="n">
        <f aca="false">SUM(I9:I24)</f>
        <v>0</v>
      </c>
      <c r="J25" s="67" t="s">
        <v>310</v>
      </c>
      <c r="M25" s="67" t="s">
        <v>310</v>
      </c>
      <c r="N25" s="68" t="n">
        <f aca="false">SUM(N9:N24)</f>
        <v>0</v>
      </c>
      <c r="O25" s="69" t="n">
        <f aca="false">SUM(O9:O24)</f>
        <v>0</v>
      </c>
      <c r="P25" s="67" t="s">
        <v>310</v>
      </c>
      <c r="R25" s="67" t="s">
        <v>310</v>
      </c>
      <c r="S25" s="68" t="n">
        <f aca="false">SUM(S9:S24)</f>
        <v>0</v>
      </c>
      <c r="T25" s="69" t="n">
        <f aca="false">SUM(T9:T24)</f>
        <v>0</v>
      </c>
      <c r="U25" s="67" t="s">
        <v>310</v>
      </c>
      <c r="W25" s="55" t="s">
        <v>311</v>
      </c>
    </row>
    <row r="26" customFormat="false" ht="15" hidden="false" customHeight="true" outlineLevel="0" collapsed="false">
      <c r="B26" s="70" t="s">
        <v>312</v>
      </c>
      <c r="C26" s="71" t="n">
        <f aca="false">C25-D25</f>
        <v>10930900</v>
      </c>
      <c r="D26" s="72"/>
      <c r="G26" s="70" t="s">
        <v>312</v>
      </c>
      <c r="H26" s="71" t="n">
        <f aca="false">H25-I25</f>
        <v>0</v>
      </c>
      <c r="I26" s="72"/>
      <c r="N26" s="73"/>
      <c r="O26" s="74" t="n">
        <f aca="false">O25-N25</f>
        <v>0</v>
      </c>
      <c r="P26" s="75" t="s">
        <v>312</v>
      </c>
      <c r="S26" s="73"/>
      <c r="T26" s="74" t="n">
        <f aca="false">T25-S25</f>
        <v>0</v>
      </c>
      <c r="U26" s="75" t="s">
        <v>312</v>
      </c>
      <c r="W26" s="55" t="s">
        <v>313</v>
      </c>
    </row>
    <row r="27" customFormat="false" ht="15" hidden="false" customHeight="true" outlineLevel="0" collapsed="false">
      <c r="W27" s="55" t="s">
        <v>314</v>
      </c>
    </row>
    <row r="28" customFormat="false" ht="15" hidden="false" customHeight="true" outlineLevel="0" collapsed="false">
      <c r="B28" s="58" t="s">
        <v>315</v>
      </c>
      <c r="C28" s="58"/>
      <c r="D28" s="58"/>
      <c r="E28" s="58"/>
      <c r="G28" s="58" t="s">
        <v>316</v>
      </c>
      <c r="H28" s="58"/>
      <c r="I28" s="58"/>
      <c r="J28" s="58"/>
      <c r="M28" s="59" t="s">
        <v>317</v>
      </c>
      <c r="N28" s="59"/>
      <c r="O28" s="59"/>
      <c r="P28" s="59"/>
      <c r="R28" s="59" t="s">
        <v>318</v>
      </c>
      <c r="S28" s="59"/>
      <c r="T28" s="59"/>
      <c r="U28" s="59"/>
      <c r="W28" s="55" t="s">
        <v>319</v>
      </c>
    </row>
    <row r="29" customFormat="false" ht="15" hidden="false" customHeight="true" outlineLevel="0" collapsed="false">
      <c r="B29" s="60" t="s">
        <v>107</v>
      </c>
      <c r="C29" s="61" t="s">
        <v>288</v>
      </c>
      <c r="D29" s="60" t="s">
        <v>289</v>
      </c>
      <c r="E29" s="60" t="s">
        <v>107</v>
      </c>
      <c r="G29" s="60" t="s">
        <v>107</v>
      </c>
      <c r="H29" s="61" t="s">
        <v>288</v>
      </c>
      <c r="I29" s="60" t="s">
        <v>289</v>
      </c>
      <c r="J29" s="60" t="s">
        <v>107</v>
      </c>
      <c r="M29" s="60" t="s">
        <v>107</v>
      </c>
      <c r="N29" s="61" t="s">
        <v>290</v>
      </c>
      <c r="O29" s="60" t="s">
        <v>291</v>
      </c>
      <c r="P29" s="60" t="s">
        <v>107</v>
      </c>
      <c r="R29" s="60" t="s">
        <v>107</v>
      </c>
      <c r="S29" s="61" t="s">
        <v>290</v>
      </c>
      <c r="T29" s="60" t="s">
        <v>291</v>
      </c>
      <c r="U29" s="60" t="s">
        <v>107</v>
      </c>
      <c r="W29" s="55" t="s">
        <v>320</v>
      </c>
    </row>
    <row r="30" customFormat="false" ht="15" hidden="false" customHeight="true" outlineLevel="0" collapsed="false">
      <c r="B30" s="62" t="s">
        <v>293</v>
      </c>
      <c r="C30" s="63"/>
      <c r="D30" s="64"/>
      <c r="E30" s="62"/>
      <c r="G30" s="62" t="s">
        <v>293</v>
      </c>
      <c r="H30" s="63"/>
      <c r="I30" s="64"/>
      <c r="J30" s="62"/>
      <c r="M30" s="62"/>
      <c r="N30" s="63"/>
      <c r="O30" s="64"/>
      <c r="P30" s="62" t="s">
        <v>293</v>
      </c>
      <c r="R30" s="62"/>
      <c r="S30" s="63"/>
      <c r="T30" s="64"/>
      <c r="U30" s="62" t="s">
        <v>293</v>
      </c>
      <c r="W30" s="51" t="s">
        <v>321</v>
      </c>
    </row>
    <row r="31" customFormat="false" ht="15" hidden="false" customHeight="true" outlineLevel="0" collapsed="false">
      <c r="B31" s="65"/>
      <c r="C31" s="66"/>
      <c r="D31" s="54"/>
      <c r="E31" s="65"/>
      <c r="G31" s="65"/>
      <c r="H31" s="66"/>
      <c r="I31" s="54"/>
      <c r="J31" s="65"/>
      <c r="M31" s="65"/>
      <c r="N31" s="66"/>
      <c r="O31" s="54"/>
      <c r="P31" s="65"/>
      <c r="R31" s="65"/>
      <c r="S31" s="66"/>
      <c r="T31" s="54"/>
      <c r="U31" s="65"/>
      <c r="W31" s="55" t="s">
        <v>322</v>
      </c>
    </row>
    <row r="32" customFormat="false" ht="15" hidden="false" customHeight="true" outlineLevel="0" collapsed="false">
      <c r="B32" s="65"/>
      <c r="C32" s="66"/>
      <c r="D32" s="54"/>
      <c r="E32" s="65"/>
      <c r="G32" s="65"/>
      <c r="H32" s="66"/>
      <c r="I32" s="54"/>
      <c r="J32" s="65"/>
      <c r="M32" s="65"/>
      <c r="N32" s="66"/>
      <c r="O32" s="54"/>
      <c r="P32" s="65"/>
      <c r="R32" s="65"/>
      <c r="S32" s="66"/>
      <c r="T32" s="54"/>
      <c r="U32" s="65"/>
    </row>
    <row r="33" customFormat="false" ht="15" hidden="false" customHeight="true" outlineLevel="0" collapsed="false">
      <c r="B33" s="65"/>
      <c r="C33" s="66"/>
      <c r="D33" s="54"/>
      <c r="E33" s="65"/>
      <c r="G33" s="65"/>
      <c r="H33" s="66"/>
      <c r="I33" s="54"/>
      <c r="J33" s="65"/>
      <c r="M33" s="65"/>
      <c r="N33" s="66"/>
      <c r="O33" s="54"/>
      <c r="P33" s="65"/>
      <c r="R33" s="65"/>
      <c r="S33" s="66"/>
      <c r="T33" s="54"/>
      <c r="U33" s="65"/>
    </row>
    <row r="34" customFormat="false" ht="15" hidden="false" customHeight="true" outlineLevel="0" collapsed="false">
      <c r="B34" s="65"/>
      <c r="C34" s="66"/>
      <c r="D34" s="54"/>
      <c r="E34" s="65"/>
      <c r="G34" s="65"/>
      <c r="H34" s="66"/>
      <c r="I34" s="54"/>
      <c r="J34" s="65"/>
      <c r="M34" s="65"/>
      <c r="N34" s="66"/>
      <c r="O34" s="54"/>
      <c r="P34" s="65"/>
      <c r="R34" s="65"/>
      <c r="S34" s="66"/>
      <c r="T34" s="54"/>
      <c r="U34" s="65"/>
    </row>
    <row r="35" customFormat="false" ht="15" hidden="false" customHeight="true" outlineLevel="0" collapsed="false">
      <c r="B35" s="65"/>
      <c r="C35" s="66"/>
      <c r="D35" s="54"/>
      <c r="E35" s="65"/>
      <c r="G35" s="65"/>
      <c r="H35" s="66"/>
      <c r="I35" s="54"/>
      <c r="J35" s="65"/>
      <c r="M35" s="65"/>
      <c r="N35" s="66"/>
      <c r="O35" s="54"/>
      <c r="P35" s="65"/>
      <c r="R35" s="65"/>
      <c r="S35" s="66"/>
      <c r="T35" s="54"/>
      <c r="U35" s="65"/>
    </row>
    <row r="36" customFormat="false" ht="15" hidden="false" customHeight="true" outlineLevel="0" collapsed="false">
      <c r="B36" s="65"/>
      <c r="C36" s="66"/>
      <c r="D36" s="54"/>
      <c r="E36" s="65"/>
      <c r="G36" s="65"/>
      <c r="H36" s="66"/>
      <c r="I36" s="54"/>
      <c r="J36" s="65"/>
      <c r="M36" s="65"/>
      <c r="N36" s="66"/>
      <c r="O36" s="54"/>
      <c r="P36" s="65"/>
      <c r="R36" s="65"/>
      <c r="S36" s="66"/>
      <c r="T36" s="54"/>
      <c r="U36" s="65"/>
    </row>
    <row r="37" customFormat="false" ht="15" hidden="false" customHeight="true" outlineLevel="0" collapsed="false">
      <c r="B37" s="65"/>
      <c r="C37" s="66"/>
      <c r="D37" s="54"/>
      <c r="E37" s="65"/>
      <c r="G37" s="65"/>
      <c r="H37" s="66"/>
      <c r="I37" s="54"/>
      <c r="J37" s="65"/>
      <c r="M37" s="65"/>
      <c r="N37" s="66"/>
      <c r="O37" s="54"/>
      <c r="P37" s="65"/>
      <c r="R37" s="65"/>
      <c r="S37" s="66"/>
      <c r="T37" s="54"/>
      <c r="U37" s="65"/>
    </row>
    <row r="38" customFormat="false" ht="15" hidden="false" customHeight="true" outlineLevel="0" collapsed="false">
      <c r="B38" s="65"/>
      <c r="C38" s="66"/>
      <c r="D38" s="54"/>
      <c r="E38" s="65"/>
      <c r="G38" s="65"/>
      <c r="H38" s="66"/>
      <c r="I38" s="54"/>
      <c r="J38" s="65"/>
      <c r="M38" s="65"/>
      <c r="N38" s="66"/>
      <c r="O38" s="54"/>
      <c r="P38" s="65"/>
      <c r="R38" s="65"/>
      <c r="S38" s="66"/>
      <c r="T38" s="54"/>
      <c r="U38" s="65"/>
    </row>
    <row r="39" customFormat="false" ht="15" hidden="false" customHeight="true" outlineLevel="0" collapsed="false">
      <c r="B39" s="65"/>
      <c r="C39" s="66"/>
      <c r="D39" s="54"/>
      <c r="E39" s="65"/>
      <c r="G39" s="65"/>
      <c r="H39" s="66"/>
      <c r="I39" s="54"/>
      <c r="J39" s="65"/>
      <c r="M39" s="65"/>
      <c r="N39" s="66"/>
      <c r="O39" s="54"/>
      <c r="P39" s="65"/>
      <c r="R39" s="65"/>
      <c r="S39" s="66"/>
      <c r="T39" s="54"/>
      <c r="U39" s="65"/>
    </row>
    <row r="40" customFormat="false" ht="15" hidden="false" customHeight="true" outlineLevel="0" collapsed="false">
      <c r="B40" s="65"/>
      <c r="C40" s="66"/>
      <c r="D40" s="54"/>
      <c r="E40" s="65"/>
      <c r="G40" s="65"/>
      <c r="H40" s="66"/>
      <c r="I40" s="54"/>
      <c r="J40" s="65"/>
      <c r="M40" s="65"/>
      <c r="N40" s="66"/>
      <c r="O40" s="54"/>
      <c r="P40" s="65"/>
      <c r="R40" s="65"/>
      <c r="S40" s="66"/>
      <c r="T40" s="54"/>
      <c r="U40" s="65"/>
    </row>
    <row r="41" customFormat="false" ht="15" hidden="false" customHeight="true" outlineLevel="0" collapsed="false">
      <c r="B41" s="65"/>
      <c r="C41" s="66"/>
      <c r="D41" s="54"/>
      <c r="E41" s="65"/>
      <c r="G41" s="65"/>
      <c r="H41" s="66"/>
      <c r="I41" s="54"/>
      <c r="J41" s="65"/>
      <c r="M41" s="65"/>
      <c r="N41" s="66"/>
      <c r="O41" s="54"/>
      <c r="P41" s="65"/>
      <c r="R41" s="65"/>
      <c r="S41" s="66"/>
      <c r="T41" s="54"/>
      <c r="U41" s="65"/>
    </row>
    <row r="42" customFormat="false" ht="15" hidden="false" customHeight="true" outlineLevel="0" collapsed="false">
      <c r="B42" s="65"/>
      <c r="C42" s="66"/>
      <c r="D42" s="54"/>
      <c r="E42" s="65"/>
      <c r="G42" s="65"/>
      <c r="H42" s="66"/>
      <c r="I42" s="54"/>
      <c r="J42" s="65"/>
      <c r="M42" s="65"/>
      <c r="N42" s="66"/>
      <c r="O42" s="54"/>
      <c r="P42" s="65"/>
      <c r="R42" s="65"/>
      <c r="S42" s="66"/>
      <c r="T42" s="54"/>
      <c r="U42" s="65"/>
    </row>
    <row r="43" customFormat="false" ht="15" hidden="false" customHeight="true" outlineLevel="0" collapsed="false">
      <c r="B43" s="65"/>
      <c r="C43" s="66"/>
      <c r="D43" s="54"/>
      <c r="E43" s="65"/>
      <c r="G43" s="65"/>
      <c r="H43" s="66"/>
      <c r="I43" s="54"/>
      <c r="J43" s="65"/>
      <c r="M43" s="65"/>
      <c r="N43" s="66"/>
      <c r="O43" s="54"/>
      <c r="P43" s="65"/>
      <c r="R43" s="65"/>
      <c r="S43" s="66"/>
      <c r="T43" s="54"/>
      <c r="U43" s="65"/>
    </row>
    <row r="44" customFormat="false" ht="15" hidden="false" customHeight="true" outlineLevel="0" collapsed="false">
      <c r="B44" s="65"/>
      <c r="C44" s="66"/>
      <c r="D44" s="54"/>
      <c r="E44" s="65"/>
      <c r="G44" s="65"/>
      <c r="H44" s="66"/>
      <c r="I44" s="54"/>
      <c r="J44" s="65"/>
      <c r="M44" s="65"/>
      <c r="N44" s="66"/>
      <c r="O44" s="54"/>
      <c r="P44" s="65"/>
      <c r="R44" s="65"/>
      <c r="S44" s="66"/>
      <c r="T44" s="54"/>
      <c r="U44" s="65"/>
    </row>
    <row r="45" customFormat="false" ht="15" hidden="false" customHeight="true" outlineLevel="0" collapsed="false">
      <c r="B45" s="65"/>
      <c r="C45" s="66"/>
      <c r="D45" s="54"/>
      <c r="E45" s="65"/>
      <c r="G45" s="65"/>
      <c r="H45" s="66"/>
      <c r="I45" s="54"/>
      <c r="J45" s="65"/>
      <c r="M45" s="65"/>
      <c r="N45" s="66"/>
      <c r="O45" s="54"/>
      <c r="P45" s="65"/>
      <c r="R45" s="65"/>
      <c r="S45" s="66"/>
      <c r="T45" s="54"/>
      <c r="U45" s="65"/>
    </row>
    <row r="46" customFormat="false" ht="15" hidden="false" customHeight="true" outlineLevel="0" collapsed="false">
      <c r="B46" s="67" t="s">
        <v>310</v>
      </c>
      <c r="C46" s="68" t="n">
        <f aca="false">SUM(C30:C45)</f>
        <v>0</v>
      </c>
      <c r="D46" s="69" t="n">
        <f aca="false">SUM(D30:D45)</f>
        <v>0</v>
      </c>
      <c r="E46" s="67" t="s">
        <v>310</v>
      </c>
      <c r="G46" s="67" t="s">
        <v>310</v>
      </c>
      <c r="H46" s="68" t="n">
        <f aca="false">SUM(H30:H45)</f>
        <v>0</v>
      </c>
      <c r="I46" s="69" t="n">
        <f aca="false">SUM(I30:I45)</f>
        <v>0</v>
      </c>
      <c r="J46" s="67" t="s">
        <v>310</v>
      </c>
      <c r="M46" s="67" t="s">
        <v>310</v>
      </c>
      <c r="N46" s="68" t="n">
        <f aca="false">SUM(N30:N45)</f>
        <v>0</v>
      </c>
      <c r="O46" s="69" t="n">
        <f aca="false">SUM(O30:O45)</f>
        <v>0</v>
      </c>
      <c r="P46" s="67" t="s">
        <v>310</v>
      </c>
      <c r="R46" s="67" t="s">
        <v>310</v>
      </c>
      <c r="S46" s="68" t="n">
        <f aca="false">SUM(S30:S45)</f>
        <v>0</v>
      </c>
      <c r="T46" s="69" t="n">
        <f aca="false">SUM(T30:T45)</f>
        <v>0</v>
      </c>
      <c r="U46" s="67" t="s">
        <v>310</v>
      </c>
    </row>
    <row r="47" customFormat="false" ht="15" hidden="false" customHeight="true" outlineLevel="0" collapsed="false">
      <c r="B47" s="70" t="s">
        <v>312</v>
      </c>
      <c r="C47" s="71" t="n">
        <f aca="false">C46-D46</f>
        <v>0</v>
      </c>
      <c r="D47" s="72"/>
      <c r="G47" s="70" t="s">
        <v>312</v>
      </c>
      <c r="H47" s="71" t="n">
        <f aca="false">H46-I46</f>
        <v>0</v>
      </c>
      <c r="I47" s="72"/>
      <c r="N47" s="73"/>
      <c r="O47" s="74" t="n">
        <f aca="false">O46-N46</f>
        <v>0</v>
      </c>
      <c r="P47" s="75" t="s">
        <v>312</v>
      </c>
      <c r="S47" s="73"/>
      <c r="T47" s="74" t="n">
        <f aca="false">T46-S46</f>
        <v>0</v>
      </c>
      <c r="U47" s="75" t="s">
        <v>312</v>
      </c>
    </row>
    <row r="49" customFormat="false" ht="15" hidden="false" customHeight="true" outlineLevel="0" collapsed="false">
      <c r="B49" s="58" t="s">
        <v>323</v>
      </c>
      <c r="C49" s="58"/>
      <c r="D49" s="58"/>
      <c r="E49" s="58"/>
      <c r="G49" s="58" t="s">
        <v>227</v>
      </c>
      <c r="H49" s="58"/>
      <c r="I49" s="58"/>
      <c r="J49" s="58"/>
      <c r="M49" s="59" t="s">
        <v>324</v>
      </c>
      <c r="N49" s="59"/>
      <c r="O49" s="59"/>
      <c r="P49" s="59"/>
      <c r="R49" s="59" t="s">
        <v>325</v>
      </c>
      <c r="S49" s="59"/>
      <c r="T49" s="59"/>
      <c r="U49" s="59"/>
    </row>
    <row r="50" customFormat="false" ht="15" hidden="false" customHeight="true" outlineLevel="0" collapsed="false">
      <c r="B50" s="60" t="s">
        <v>107</v>
      </c>
      <c r="C50" s="61" t="s">
        <v>288</v>
      </c>
      <c r="D50" s="60" t="s">
        <v>289</v>
      </c>
      <c r="E50" s="60" t="s">
        <v>107</v>
      </c>
      <c r="G50" s="60" t="s">
        <v>107</v>
      </c>
      <c r="H50" s="61" t="s">
        <v>288</v>
      </c>
      <c r="I50" s="60" t="s">
        <v>289</v>
      </c>
      <c r="J50" s="60" t="s">
        <v>107</v>
      </c>
      <c r="M50" s="60" t="s">
        <v>107</v>
      </c>
      <c r="N50" s="61" t="s">
        <v>290</v>
      </c>
      <c r="O50" s="60" t="s">
        <v>291</v>
      </c>
      <c r="P50" s="60" t="s">
        <v>107</v>
      </c>
      <c r="R50" s="60" t="s">
        <v>107</v>
      </c>
      <c r="S50" s="61" t="s">
        <v>290</v>
      </c>
      <c r="T50" s="60" t="s">
        <v>291</v>
      </c>
      <c r="U50" s="60" t="s">
        <v>107</v>
      </c>
    </row>
    <row r="51" customFormat="false" ht="15" hidden="false" customHeight="true" outlineLevel="0" collapsed="false">
      <c r="B51" s="62" t="s">
        <v>293</v>
      </c>
      <c r="C51" s="63"/>
      <c r="D51" s="64"/>
      <c r="E51" s="62"/>
      <c r="G51" s="62" t="s">
        <v>293</v>
      </c>
      <c r="H51" s="63"/>
      <c r="I51" s="64"/>
      <c r="J51" s="62"/>
      <c r="M51" s="62"/>
      <c r="N51" s="63"/>
      <c r="O51" s="64"/>
      <c r="P51" s="62" t="s">
        <v>293</v>
      </c>
      <c r="R51" s="62"/>
      <c r="S51" s="63"/>
      <c r="T51" s="64"/>
      <c r="U51" s="62" t="s">
        <v>293</v>
      </c>
    </row>
    <row r="52" customFormat="false" ht="15" hidden="false" customHeight="true" outlineLevel="0" collapsed="false">
      <c r="B52" s="65"/>
      <c r="C52" s="66"/>
      <c r="D52" s="54"/>
      <c r="E52" s="65"/>
      <c r="G52" s="65" t="s">
        <v>225</v>
      </c>
      <c r="H52" s="66" t="n">
        <v>900000</v>
      </c>
      <c r="I52" s="54" t="n">
        <v>930000</v>
      </c>
      <c r="J52" s="65" t="s">
        <v>234</v>
      </c>
      <c r="M52" s="65"/>
      <c r="N52" s="66"/>
      <c r="O52" s="54"/>
      <c r="P52" s="65"/>
      <c r="R52" s="65"/>
      <c r="S52" s="66"/>
      <c r="T52" s="54"/>
      <c r="U52" s="65"/>
    </row>
    <row r="53" customFormat="false" ht="15" hidden="false" customHeight="true" outlineLevel="0" collapsed="false">
      <c r="B53" s="65"/>
      <c r="C53" s="66"/>
      <c r="D53" s="54"/>
      <c r="E53" s="65"/>
      <c r="G53" s="65" t="s">
        <v>228</v>
      </c>
      <c r="H53" s="66" t="n">
        <v>30000</v>
      </c>
      <c r="I53" s="54"/>
      <c r="J53" s="65"/>
      <c r="M53" s="65"/>
      <c r="N53" s="66"/>
      <c r="O53" s="54"/>
      <c r="P53" s="65"/>
      <c r="R53" s="65"/>
      <c r="S53" s="66"/>
      <c r="T53" s="54"/>
      <c r="U53" s="65"/>
    </row>
    <row r="54" customFormat="false" ht="15" hidden="false" customHeight="true" outlineLevel="0" collapsed="false">
      <c r="B54" s="65"/>
      <c r="C54" s="66"/>
      <c r="D54" s="54"/>
      <c r="E54" s="65"/>
      <c r="G54" s="65"/>
      <c r="H54" s="66"/>
      <c r="I54" s="54"/>
      <c r="J54" s="65"/>
      <c r="M54" s="65"/>
      <c r="N54" s="66"/>
      <c r="O54" s="54"/>
      <c r="P54" s="65"/>
      <c r="R54" s="65"/>
      <c r="S54" s="66"/>
      <c r="T54" s="54"/>
      <c r="U54" s="65"/>
    </row>
    <row r="55" customFormat="false" ht="15" hidden="false" customHeight="true" outlineLevel="0" collapsed="false">
      <c r="B55" s="65"/>
      <c r="C55" s="66"/>
      <c r="D55" s="54"/>
      <c r="E55" s="65"/>
      <c r="G55" s="65"/>
      <c r="H55" s="66"/>
      <c r="I55" s="54"/>
      <c r="J55" s="65"/>
      <c r="M55" s="65"/>
      <c r="N55" s="66"/>
      <c r="O55" s="54"/>
      <c r="P55" s="65"/>
      <c r="R55" s="65"/>
      <c r="S55" s="66"/>
      <c r="T55" s="54"/>
      <c r="U55" s="65"/>
    </row>
    <row r="56" customFormat="false" ht="15" hidden="false" customHeight="true" outlineLevel="0" collapsed="false">
      <c r="B56" s="65"/>
      <c r="C56" s="66"/>
      <c r="D56" s="54"/>
      <c r="E56" s="65"/>
      <c r="G56" s="65"/>
      <c r="H56" s="66"/>
      <c r="I56" s="54"/>
      <c r="J56" s="65"/>
      <c r="M56" s="65"/>
      <c r="N56" s="66"/>
      <c r="O56" s="54"/>
      <c r="P56" s="65"/>
      <c r="R56" s="65"/>
      <c r="S56" s="66"/>
      <c r="T56" s="54"/>
      <c r="U56" s="65"/>
    </row>
    <row r="57" customFormat="false" ht="15" hidden="false" customHeight="true" outlineLevel="0" collapsed="false">
      <c r="B57" s="65"/>
      <c r="C57" s="66"/>
      <c r="D57" s="54"/>
      <c r="E57" s="65"/>
      <c r="G57" s="65"/>
      <c r="H57" s="66"/>
      <c r="I57" s="54"/>
      <c r="J57" s="65"/>
      <c r="M57" s="65"/>
      <c r="N57" s="66"/>
      <c r="O57" s="54"/>
      <c r="P57" s="65"/>
      <c r="R57" s="65"/>
      <c r="S57" s="66"/>
      <c r="T57" s="54"/>
      <c r="U57" s="65"/>
    </row>
    <row r="58" customFormat="false" ht="15" hidden="false" customHeight="true" outlineLevel="0" collapsed="false">
      <c r="B58" s="65"/>
      <c r="C58" s="66"/>
      <c r="D58" s="54"/>
      <c r="E58" s="65"/>
      <c r="G58" s="65"/>
      <c r="H58" s="66"/>
      <c r="I58" s="54"/>
      <c r="J58" s="65"/>
      <c r="M58" s="65"/>
      <c r="N58" s="66"/>
      <c r="O58" s="54"/>
      <c r="P58" s="65"/>
      <c r="R58" s="65"/>
      <c r="S58" s="66"/>
      <c r="T58" s="54"/>
      <c r="U58" s="65"/>
    </row>
    <row r="59" customFormat="false" ht="15" hidden="false" customHeight="true" outlineLevel="0" collapsed="false">
      <c r="B59" s="65"/>
      <c r="C59" s="66"/>
      <c r="D59" s="54"/>
      <c r="E59" s="65"/>
      <c r="G59" s="65"/>
      <c r="H59" s="66"/>
      <c r="I59" s="54"/>
      <c r="J59" s="65"/>
      <c r="M59" s="65"/>
      <c r="N59" s="66"/>
      <c r="O59" s="54"/>
      <c r="P59" s="65"/>
      <c r="R59" s="65"/>
      <c r="S59" s="66"/>
      <c r="T59" s="54"/>
      <c r="U59" s="65"/>
    </row>
    <row r="60" customFormat="false" ht="15" hidden="false" customHeight="true" outlineLevel="0" collapsed="false">
      <c r="B60" s="65"/>
      <c r="C60" s="66"/>
      <c r="D60" s="54"/>
      <c r="E60" s="65"/>
      <c r="G60" s="65"/>
      <c r="H60" s="66"/>
      <c r="I60" s="54"/>
      <c r="J60" s="65"/>
      <c r="M60" s="65"/>
      <c r="N60" s="66"/>
      <c r="O60" s="54"/>
      <c r="P60" s="65"/>
      <c r="R60" s="65"/>
      <c r="S60" s="66"/>
      <c r="T60" s="54"/>
      <c r="U60" s="65"/>
    </row>
    <row r="61" customFormat="false" ht="15" hidden="false" customHeight="true" outlineLevel="0" collapsed="false">
      <c r="B61" s="65"/>
      <c r="C61" s="66"/>
      <c r="D61" s="54"/>
      <c r="E61" s="65"/>
      <c r="G61" s="65"/>
      <c r="H61" s="66"/>
      <c r="I61" s="54"/>
      <c r="J61" s="65"/>
      <c r="M61" s="65"/>
      <c r="N61" s="66"/>
      <c r="O61" s="54"/>
      <c r="P61" s="65"/>
      <c r="R61" s="65"/>
      <c r="S61" s="66"/>
      <c r="T61" s="54"/>
      <c r="U61" s="65"/>
    </row>
    <row r="62" customFormat="false" ht="15" hidden="false" customHeight="true" outlineLevel="0" collapsed="false">
      <c r="B62" s="65"/>
      <c r="C62" s="66"/>
      <c r="D62" s="54"/>
      <c r="E62" s="65"/>
      <c r="G62" s="65"/>
      <c r="H62" s="66"/>
      <c r="I62" s="54"/>
      <c r="J62" s="65"/>
      <c r="M62" s="65"/>
      <c r="N62" s="66"/>
      <c r="O62" s="54"/>
      <c r="P62" s="65"/>
      <c r="R62" s="65"/>
      <c r="S62" s="66"/>
      <c r="T62" s="54"/>
      <c r="U62" s="65"/>
    </row>
    <row r="63" customFormat="false" ht="15" hidden="false" customHeight="true" outlineLevel="0" collapsed="false">
      <c r="B63" s="65"/>
      <c r="C63" s="66"/>
      <c r="D63" s="54"/>
      <c r="E63" s="65"/>
      <c r="G63" s="65"/>
      <c r="H63" s="66"/>
      <c r="I63" s="54"/>
      <c r="J63" s="65"/>
      <c r="M63" s="65"/>
      <c r="N63" s="66"/>
      <c r="O63" s="54"/>
      <c r="P63" s="65"/>
      <c r="R63" s="65"/>
      <c r="S63" s="66"/>
      <c r="T63" s="54"/>
      <c r="U63" s="65"/>
    </row>
    <row r="64" customFormat="false" ht="15" hidden="false" customHeight="true" outlineLevel="0" collapsed="false">
      <c r="B64" s="65"/>
      <c r="C64" s="66"/>
      <c r="D64" s="54"/>
      <c r="E64" s="65"/>
      <c r="G64" s="65"/>
      <c r="H64" s="66"/>
      <c r="I64" s="54"/>
      <c r="J64" s="65"/>
      <c r="M64" s="65"/>
      <c r="N64" s="66"/>
      <c r="O64" s="54"/>
      <c r="P64" s="65"/>
      <c r="R64" s="65"/>
      <c r="S64" s="66"/>
      <c r="T64" s="54"/>
      <c r="U64" s="65"/>
    </row>
    <row r="65" customFormat="false" ht="15" hidden="false" customHeight="true" outlineLevel="0" collapsed="false">
      <c r="B65" s="65"/>
      <c r="C65" s="66"/>
      <c r="D65" s="54"/>
      <c r="E65" s="65"/>
      <c r="G65" s="65"/>
      <c r="H65" s="66"/>
      <c r="I65" s="54"/>
      <c r="J65" s="65"/>
      <c r="M65" s="65"/>
      <c r="N65" s="66"/>
      <c r="O65" s="54"/>
      <c r="P65" s="65"/>
      <c r="R65" s="65"/>
      <c r="S65" s="66"/>
      <c r="T65" s="54"/>
      <c r="U65" s="65"/>
    </row>
    <row r="66" customFormat="false" ht="15" hidden="false" customHeight="true" outlineLevel="0" collapsed="false">
      <c r="B66" s="65"/>
      <c r="C66" s="66"/>
      <c r="D66" s="54"/>
      <c r="E66" s="65"/>
      <c r="G66" s="65"/>
      <c r="H66" s="66"/>
      <c r="I66" s="54"/>
      <c r="J66" s="65"/>
      <c r="M66" s="65"/>
      <c r="N66" s="66"/>
      <c r="O66" s="54"/>
      <c r="P66" s="65"/>
      <c r="R66" s="65"/>
      <c r="S66" s="66"/>
      <c r="T66" s="54"/>
      <c r="U66" s="65"/>
    </row>
    <row r="67" customFormat="false" ht="15" hidden="false" customHeight="true" outlineLevel="0" collapsed="false">
      <c r="B67" s="67" t="s">
        <v>310</v>
      </c>
      <c r="C67" s="68" t="n">
        <f aca="false">SUM(C51:C66)</f>
        <v>0</v>
      </c>
      <c r="D67" s="69" t="n">
        <f aca="false">SUM(D51:D66)</f>
        <v>0</v>
      </c>
      <c r="E67" s="67" t="s">
        <v>310</v>
      </c>
      <c r="G67" s="67" t="s">
        <v>310</v>
      </c>
      <c r="H67" s="68" t="n">
        <f aca="false">SUM(H51:H66)</f>
        <v>930000</v>
      </c>
      <c r="I67" s="69" t="n">
        <f aca="false">SUM(I51:I66)</f>
        <v>930000</v>
      </c>
      <c r="J67" s="67" t="s">
        <v>310</v>
      </c>
      <c r="M67" s="67" t="s">
        <v>310</v>
      </c>
      <c r="N67" s="68" t="n">
        <f aca="false">SUM(N51:N66)</f>
        <v>0</v>
      </c>
      <c r="O67" s="69" t="n">
        <f aca="false">SUM(O51:O66)</f>
        <v>0</v>
      </c>
      <c r="P67" s="67" t="s">
        <v>310</v>
      </c>
      <c r="R67" s="67" t="s">
        <v>310</v>
      </c>
      <c r="S67" s="68" t="n">
        <f aca="false">SUM(S51:S66)</f>
        <v>0</v>
      </c>
      <c r="T67" s="69" t="n">
        <f aca="false">SUM(T51:T66)</f>
        <v>0</v>
      </c>
      <c r="U67" s="67" t="s">
        <v>310</v>
      </c>
    </row>
    <row r="68" customFormat="false" ht="15" hidden="false" customHeight="true" outlineLevel="0" collapsed="false">
      <c r="B68" s="70" t="s">
        <v>312</v>
      </c>
      <c r="C68" s="71" t="n">
        <f aca="false">C67-D67</f>
        <v>0</v>
      </c>
      <c r="D68" s="72"/>
      <c r="G68" s="70" t="s">
        <v>312</v>
      </c>
      <c r="H68" s="71" t="n">
        <f aca="false">H67-I67</f>
        <v>0</v>
      </c>
      <c r="I68" s="72"/>
      <c r="N68" s="73"/>
      <c r="O68" s="74" t="n">
        <f aca="false">O67-N67</f>
        <v>0</v>
      </c>
      <c r="P68" s="75" t="s">
        <v>312</v>
      </c>
      <c r="S68" s="73"/>
      <c r="T68" s="74" t="n">
        <f aca="false">T67-S67</f>
        <v>0</v>
      </c>
      <c r="U68" s="75" t="s">
        <v>312</v>
      </c>
    </row>
    <row r="70" customFormat="false" ht="15" hidden="false" customHeight="true" outlineLevel="0" collapsed="false">
      <c r="B70" s="58" t="s">
        <v>202</v>
      </c>
      <c r="C70" s="58"/>
      <c r="D70" s="58"/>
      <c r="E70" s="58"/>
      <c r="G70" s="58" t="s">
        <v>262</v>
      </c>
      <c r="H70" s="58"/>
      <c r="I70" s="58"/>
      <c r="J70" s="58"/>
      <c r="M70" s="59" t="s">
        <v>326</v>
      </c>
      <c r="N70" s="59"/>
      <c r="O70" s="59"/>
      <c r="P70" s="59"/>
      <c r="R70" s="59" t="s">
        <v>214</v>
      </c>
      <c r="S70" s="59"/>
      <c r="T70" s="59"/>
      <c r="U70" s="59"/>
    </row>
    <row r="71" customFormat="false" ht="15" hidden="false" customHeight="true" outlineLevel="0" collapsed="false">
      <c r="B71" s="60" t="s">
        <v>107</v>
      </c>
      <c r="C71" s="61" t="s">
        <v>288</v>
      </c>
      <c r="D71" s="60" t="s">
        <v>289</v>
      </c>
      <c r="E71" s="60" t="s">
        <v>107</v>
      </c>
      <c r="G71" s="60" t="s">
        <v>107</v>
      </c>
      <c r="H71" s="61" t="s">
        <v>288</v>
      </c>
      <c r="I71" s="60" t="s">
        <v>289</v>
      </c>
      <c r="J71" s="60" t="s">
        <v>107</v>
      </c>
      <c r="M71" s="60" t="s">
        <v>107</v>
      </c>
      <c r="N71" s="61" t="s">
        <v>290</v>
      </c>
      <c r="O71" s="60" t="s">
        <v>291</v>
      </c>
      <c r="P71" s="60" t="s">
        <v>107</v>
      </c>
      <c r="R71" s="60" t="s">
        <v>107</v>
      </c>
      <c r="S71" s="61" t="s">
        <v>290</v>
      </c>
      <c r="T71" s="60" t="s">
        <v>291</v>
      </c>
      <c r="U71" s="60" t="s">
        <v>107</v>
      </c>
    </row>
    <row r="72" customFormat="false" ht="15" hidden="false" customHeight="true" outlineLevel="0" collapsed="false">
      <c r="B72" s="62" t="s">
        <v>293</v>
      </c>
      <c r="C72" s="63" t="n">
        <v>5000000</v>
      </c>
      <c r="D72" s="64"/>
      <c r="E72" s="62"/>
      <c r="G72" s="62" t="s">
        <v>293</v>
      </c>
      <c r="H72" s="63"/>
      <c r="I72" s="64"/>
      <c r="J72" s="62"/>
      <c r="M72" s="62"/>
      <c r="N72" s="63"/>
      <c r="O72" s="64"/>
      <c r="P72" s="62" t="s">
        <v>293</v>
      </c>
      <c r="R72" s="62"/>
      <c r="S72" s="63"/>
      <c r="T72" s="64"/>
      <c r="U72" s="62" t="s">
        <v>293</v>
      </c>
    </row>
    <row r="73" customFormat="false" ht="15" hidden="false" customHeight="true" outlineLevel="0" collapsed="false">
      <c r="B73" s="65" t="s">
        <v>112</v>
      </c>
      <c r="C73" s="66" t="n">
        <v>750000</v>
      </c>
      <c r="D73" s="54" t="n">
        <v>5000000</v>
      </c>
      <c r="E73" s="65" t="s">
        <v>116</v>
      </c>
      <c r="G73" s="65" t="s">
        <v>260</v>
      </c>
      <c r="H73" s="66" t="n">
        <v>420000</v>
      </c>
      <c r="I73" s="54"/>
      <c r="J73" s="65"/>
      <c r="M73" s="65"/>
      <c r="N73" s="66"/>
      <c r="O73" s="54"/>
      <c r="P73" s="65"/>
      <c r="R73" s="65"/>
      <c r="S73" s="66"/>
      <c r="T73" s="54" t="n">
        <v>750000</v>
      </c>
      <c r="U73" s="65" t="s">
        <v>112</v>
      </c>
    </row>
    <row r="74" customFormat="false" ht="15" hidden="false" customHeight="true" outlineLevel="0" collapsed="false">
      <c r="B74" s="65" t="s">
        <v>120</v>
      </c>
      <c r="C74" s="66" t="n">
        <v>125000</v>
      </c>
      <c r="D74" s="54"/>
      <c r="E74" s="65"/>
      <c r="G74" s="65"/>
      <c r="H74" s="66"/>
      <c r="I74" s="54"/>
      <c r="J74" s="65"/>
      <c r="M74" s="65"/>
      <c r="N74" s="66"/>
      <c r="O74" s="54"/>
      <c r="P74" s="65"/>
      <c r="R74" s="65"/>
      <c r="S74" s="66"/>
      <c r="T74" s="54"/>
      <c r="U74" s="65"/>
    </row>
    <row r="75" customFormat="false" ht="15" hidden="false" customHeight="true" outlineLevel="0" collapsed="false">
      <c r="B75" s="65"/>
      <c r="C75" s="66"/>
      <c r="D75" s="54"/>
      <c r="E75" s="65"/>
      <c r="G75" s="65"/>
      <c r="H75" s="66"/>
      <c r="I75" s="54"/>
      <c r="J75" s="65"/>
      <c r="M75" s="65"/>
      <c r="N75" s="66"/>
      <c r="O75" s="54"/>
      <c r="P75" s="65"/>
      <c r="R75" s="65"/>
      <c r="S75" s="66"/>
      <c r="T75" s="54"/>
      <c r="U75" s="65"/>
    </row>
    <row r="76" customFormat="false" ht="15" hidden="false" customHeight="true" outlineLevel="0" collapsed="false">
      <c r="B76" s="65"/>
      <c r="C76" s="66"/>
      <c r="D76" s="54"/>
      <c r="E76" s="65"/>
      <c r="G76" s="65"/>
      <c r="H76" s="66"/>
      <c r="I76" s="54"/>
      <c r="J76" s="65"/>
      <c r="M76" s="65"/>
      <c r="N76" s="66"/>
      <c r="O76" s="54"/>
      <c r="P76" s="65"/>
      <c r="R76" s="65"/>
      <c r="S76" s="66"/>
      <c r="T76" s="54"/>
      <c r="U76" s="65"/>
    </row>
    <row r="77" customFormat="false" ht="15" hidden="false" customHeight="true" outlineLevel="0" collapsed="false">
      <c r="B77" s="65"/>
      <c r="C77" s="66"/>
      <c r="D77" s="54"/>
      <c r="E77" s="65"/>
      <c r="G77" s="65"/>
      <c r="H77" s="66"/>
      <c r="I77" s="54"/>
      <c r="J77" s="65"/>
      <c r="M77" s="65"/>
      <c r="N77" s="66"/>
      <c r="O77" s="54"/>
      <c r="P77" s="65"/>
      <c r="R77" s="65"/>
      <c r="S77" s="66"/>
      <c r="T77" s="54"/>
      <c r="U77" s="65"/>
    </row>
    <row r="78" customFormat="false" ht="15" hidden="false" customHeight="true" outlineLevel="0" collapsed="false">
      <c r="B78" s="65"/>
      <c r="C78" s="66"/>
      <c r="D78" s="54"/>
      <c r="E78" s="65"/>
      <c r="G78" s="65"/>
      <c r="H78" s="66"/>
      <c r="I78" s="54"/>
      <c r="J78" s="65"/>
      <c r="M78" s="65"/>
      <c r="N78" s="66"/>
      <c r="O78" s="54"/>
      <c r="P78" s="65"/>
      <c r="R78" s="65"/>
      <c r="S78" s="66"/>
      <c r="T78" s="54"/>
      <c r="U78" s="65"/>
    </row>
    <row r="79" customFormat="false" ht="15" hidden="false" customHeight="true" outlineLevel="0" collapsed="false">
      <c r="B79" s="65"/>
      <c r="C79" s="66"/>
      <c r="D79" s="54"/>
      <c r="E79" s="65"/>
      <c r="G79" s="65"/>
      <c r="H79" s="66"/>
      <c r="I79" s="54"/>
      <c r="J79" s="65"/>
      <c r="M79" s="65"/>
      <c r="N79" s="66"/>
      <c r="O79" s="54"/>
      <c r="P79" s="65"/>
      <c r="R79" s="65"/>
      <c r="S79" s="66"/>
      <c r="T79" s="54"/>
      <c r="U79" s="65"/>
    </row>
    <row r="80" customFormat="false" ht="15" hidden="false" customHeight="true" outlineLevel="0" collapsed="false">
      <c r="B80" s="65"/>
      <c r="C80" s="66"/>
      <c r="D80" s="54"/>
      <c r="E80" s="65"/>
      <c r="G80" s="65"/>
      <c r="H80" s="66"/>
      <c r="I80" s="54"/>
      <c r="J80" s="65"/>
      <c r="M80" s="65"/>
      <c r="N80" s="66"/>
      <c r="O80" s="54"/>
      <c r="P80" s="65"/>
      <c r="R80" s="65"/>
      <c r="S80" s="66"/>
      <c r="T80" s="54"/>
      <c r="U80" s="65"/>
    </row>
    <row r="81" customFormat="false" ht="15" hidden="false" customHeight="true" outlineLevel="0" collapsed="false">
      <c r="B81" s="65"/>
      <c r="C81" s="66"/>
      <c r="D81" s="54"/>
      <c r="E81" s="65"/>
      <c r="G81" s="65"/>
      <c r="H81" s="66"/>
      <c r="I81" s="54"/>
      <c r="J81" s="65"/>
      <c r="M81" s="65"/>
      <c r="N81" s="66"/>
      <c r="O81" s="54"/>
      <c r="P81" s="65"/>
      <c r="R81" s="65"/>
      <c r="S81" s="66"/>
      <c r="T81" s="54"/>
      <c r="U81" s="65"/>
    </row>
    <row r="82" customFormat="false" ht="15" hidden="false" customHeight="true" outlineLevel="0" collapsed="false">
      <c r="B82" s="65"/>
      <c r="C82" s="66"/>
      <c r="D82" s="54"/>
      <c r="E82" s="65"/>
      <c r="G82" s="65"/>
      <c r="H82" s="66"/>
      <c r="I82" s="54"/>
      <c r="J82" s="65"/>
      <c r="M82" s="65"/>
      <c r="N82" s="66"/>
      <c r="O82" s="54"/>
      <c r="P82" s="65"/>
      <c r="R82" s="65"/>
      <c r="S82" s="66"/>
      <c r="T82" s="54"/>
      <c r="U82" s="65"/>
    </row>
    <row r="83" customFormat="false" ht="15" hidden="false" customHeight="true" outlineLevel="0" collapsed="false">
      <c r="B83" s="65"/>
      <c r="C83" s="66"/>
      <c r="D83" s="54"/>
      <c r="E83" s="65"/>
      <c r="G83" s="65"/>
      <c r="H83" s="66"/>
      <c r="I83" s="54"/>
      <c r="J83" s="65"/>
      <c r="M83" s="65"/>
      <c r="N83" s="66"/>
      <c r="O83" s="54"/>
      <c r="P83" s="65"/>
      <c r="R83" s="65"/>
      <c r="S83" s="66"/>
      <c r="T83" s="54"/>
      <c r="U83" s="65"/>
    </row>
    <row r="84" customFormat="false" ht="15" hidden="false" customHeight="true" outlineLevel="0" collapsed="false">
      <c r="B84" s="65"/>
      <c r="C84" s="66"/>
      <c r="D84" s="54"/>
      <c r="E84" s="65"/>
      <c r="G84" s="65"/>
      <c r="H84" s="66"/>
      <c r="I84" s="54"/>
      <c r="J84" s="65"/>
      <c r="M84" s="65"/>
      <c r="N84" s="66"/>
      <c r="O84" s="54"/>
      <c r="P84" s="65"/>
      <c r="R84" s="65"/>
      <c r="S84" s="66"/>
      <c r="T84" s="54"/>
      <c r="U84" s="65"/>
    </row>
    <row r="85" customFormat="false" ht="15" hidden="false" customHeight="true" outlineLevel="0" collapsed="false">
      <c r="B85" s="65"/>
      <c r="C85" s="66"/>
      <c r="D85" s="54"/>
      <c r="E85" s="65"/>
      <c r="G85" s="65"/>
      <c r="H85" s="66"/>
      <c r="I85" s="54"/>
      <c r="J85" s="65"/>
      <c r="M85" s="65"/>
      <c r="N85" s="66"/>
      <c r="O85" s="54"/>
      <c r="P85" s="65"/>
      <c r="R85" s="65"/>
      <c r="S85" s="66"/>
      <c r="T85" s="54"/>
      <c r="U85" s="65"/>
    </row>
    <row r="86" customFormat="false" ht="15" hidden="false" customHeight="true" outlineLevel="0" collapsed="false">
      <c r="B86" s="65"/>
      <c r="C86" s="66"/>
      <c r="D86" s="54"/>
      <c r="E86" s="65"/>
      <c r="G86" s="65"/>
      <c r="H86" s="66"/>
      <c r="I86" s="54"/>
      <c r="J86" s="65"/>
      <c r="M86" s="65"/>
      <c r="N86" s="66"/>
      <c r="O86" s="54"/>
      <c r="P86" s="65"/>
      <c r="R86" s="65"/>
      <c r="S86" s="66"/>
      <c r="T86" s="54"/>
      <c r="U86" s="65"/>
    </row>
    <row r="87" customFormat="false" ht="15" hidden="false" customHeight="true" outlineLevel="0" collapsed="false">
      <c r="B87" s="65"/>
      <c r="C87" s="66"/>
      <c r="D87" s="54"/>
      <c r="E87" s="65"/>
      <c r="G87" s="65"/>
      <c r="H87" s="66"/>
      <c r="I87" s="54"/>
      <c r="J87" s="65"/>
      <c r="M87" s="65"/>
      <c r="N87" s="66"/>
      <c r="O87" s="54"/>
      <c r="P87" s="65"/>
      <c r="R87" s="65"/>
      <c r="S87" s="66"/>
      <c r="T87" s="54"/>
      <c r="U87" s="65"/>
    </row>
    <row r="88" customFormat="false" ht="15" hidden="false" customHeight="true" outlineLevel="0" collapsed="false">
      <c r="B88" s="67" t="s">
        <v>310</v>
      </c>
      <c r="C88" s="68" t="n">
        <f aca="false">SUM(C72:C87)</f>
        <v>5875000</v>
      </c>
      <c r="D88" s="69" t="n">
        <f aca="false">SUM(D72:D87)</f>
        <v>5000000</v>
      </c>
      <c r="E88" s="67" t="s">
        <v>310</v>
      </c>
      <c r="G88" s="67" t="s">
        <v>310</v>
      </c>
      <c r="H88" s="68" t="n">
        <f aca="false">SUM(H72:H87)</f>
        <v>420000</v>
      </c>
      <c r="I88" s="69" t="n">
        <f aca="false">SUM(I72:I87)</f>
        <v>0</v>
      </c>
      <c r="J88" s="67" t="s">
        <v>310</v>
      </c>
      <c r="M88" s="67" t="s">
        <v>310</v>
      </c>
      <c r="N88" s="68" t="n">
        <f aca="false">SUM(N72:N87)</f>
        <v>0</v>
      </c>
      <c r="O88" s="69" t="n">
        <f aca="false">SUM(O72:O87)</f>
        <v>0</v>
      </c>
      <c r="P88" s="67" t="s">
        <v>310</v>
      </c>
      <c r="R88" s="67" t="s">
        <v>310</v>
      </c>
      <c r="S88" s="68" t="n">
        <f aca="false">SUM(S72:S87)</f>
        <v>0</v>
      </c>
      <c r="T88" s="69" t="n">
        <f aca="false">SUM(T72:T87)</f>
        <v>750000</v>
      </c>
      <c r="U88" s="67" t="s">
        <v>310</v>
      </c>
    </row>
    <row r="89" customFormat="false" ht="15" hidden="false" customHeight="true" outlineLevel="0" collapsed="false">
      <c r="B89" s="70" t="s">
        <v>312</v>
      </c>
      <c r="C89" s="71" t="n">
        <f aca="false">C88-D88</f>
        <v>875000</v>
      </c>
      <c r="D89" s="72"/>
      <c r="G89" s="70" t="s">
        <v>312</v>
      </c>
      <c r="H89" s="71" t="n">
        <f aca="false">H88-I88</f>
        <v>420000</v>
      </c>
      <c r="I89" s="72"/>
      <c r="N89" s="73"/>
      <c r="O89" s="74" t="n">
        <f aca="false">O88-N88</f>
        <v>0</v>
      </c>
      <c r="P89" s="75" t="s">
        <v>312</v>
      </c>
      <c r="S89" s="73"/>
      <c r="T89" s="74" t="n">
        <f aca="false">T88-S88</f>
        <v>750000</v>
      </c>
      <c r="U89" s="75" t="s">
        <v>312</v>
      </c>
    </row>
    <row r="91" customFormat="false" ht="15" hidden="false" customHeight="true" outlineLevel="0" collapsed="false">
      <c r="B91" s="58" t="s">
        <v>205</v>
      </c>
      <c r="C91" s="58"/>
      <c r="D91" s="58"/>
      <c r="E91" s="58"/>
      <c r="G91" s="58" t="s">
        <v>199</v>
      </c>
      <c r="H91" s="58"/>
      <c r="I91" s="58"/>
      <c r="J91" s="58"/>
      <c r="M91" s="59" t="s">
        <v>223</v>
      </c>
      <c r="N91" s="59"/>
      <c r="O91" s="59"/>
      <c r="P91" s="59"/>
      <c r="R91" s="59" t="s">
        <v>327</v>
      </c>
      <c r="S91" s="59"/>
      <c r="T91" s="59"/>
      <c r="U91" s="59"/>
    </row>
    <row r="92" customFormat="false" ht="15" hidden="false" customHeight="true" outlineLevel="0" collapsed="false">
      <c r="B92" s="60" t="s">
        <v>107</v>
      </c>
      <c r="C92" s="61" t="s">
        <v>288</v>
      </c>
      <c r="D92" s="60" t="s">
        <v>289</v>
      </c>
      <c r="E92" s="60" t="s">
        <v>107</v>
      </c>
      <c r="G92" s="60" t="s">
        <v>107</v>
      </c>
      <c r="H92" s="61" t="s">
        <v>290</v>
      </c>
      <c r="I92" s="60" t="s">
        <v>291</v>
      </c>
      <c r="J92" s="60" t="s">
        <v>107</v>
      </c>
      <c r="M92" s="60" t="s">
        <v>107</v>
      </c>
      <c r="N92" s="61" t="s">
        <v>290</v>
      </c>
      <c r="O92" s="60" t="s">
        <v>291</v>
      </c>
      <c r="P92" s="60" t="s">
        <v>107</v>
      </c>
      <c r="R92" s="60" t="s">
        <v>107</v>
      </c>
      <c r="S92" s="61" t="s">
        <v>290</v>
      </c>
      <c r="T92" s="60" t="s">
        <v>291</v>
      </c>
      <c r="U92" s="60" t="s">
        <v>107</v>
      </c>
    </row>
    <row r="93" customFormat="false" ht="15" hidden="false" customHeight="true" outlineLevel="0" collapsed="false">
      <c r="B93" s="62" t="s">
        <v>293</v>
      </c>
      <c r="C93" s="63" t="n">
        <v>6000000</v>
      </c>
      <c r="D93" s="64"/>
      <c r="E93" s="62"/>
      <c r="G93" s="62"/>
      <c r="H93" s="63"/>
      <c r="I93" s="64" t="n">
        <v>5400000</v>
      </c>
      <c r="J93" s="62" t="s">
        <v>293</v>
      </c>
      <c r="M93" s="62"/>
      <c r="N93" s="63"/>
      <c r="O93" s="64"/>
      <c r="P93" s="62" t="s">
        <v>293</v>
      </c>
      <c r="R93" s="62"/>
      <c r="S93" s="63"/>
      <c r="T93" s="64"/>
      <c r="U93" s="62" t="s">
        <v>293</v>
      </c>
    </row>
    <row r="94" customFormat="false" ht="15" hidden="false" customHeight="true" outlineLevel="0" collapsed="false">
      <c r="B94" s="65" t="s">
        <v>234</v>
      </c>
      <c r="C94" s="66" t="n">
        <v>620000</v>
      </c>
      <c r="D94" s="54" t="n">
        <v>6000000</v>
      </c>
      <c r="E94" s="65" t="s">
        <v>116</v>
      </c>
      <c r="G94" s="65" t="s">
        <v>116</v>
      </c>
      <c r="H94" s="66" t="n">
        <v>5400000</v>
      </c>
      <c r="I94" s="54" t="n">
        <v>31000</v>
      </c>
      <c r="J94" s="65" t="s">
        <v>252</v>
      </c>
      <c r="M94" s="65" t="s">
        <v>231</v>
      </c>
      <c r="N94" s="66" t="n">
        <v>30000</v>
      </c>
      <c r="O94" s="54" t="n">
        <v>600000</v>
      </c>
      <c r="P94" s="65" t="s">
        <v>219</v>
      </c>
      <c r="R94" s="65"/>
      <c r="S94" s="66"/>
      <c r="T94" s="54"/>
      <c r="U94" s="65"/>
    </row>
    <row r="95" customFormat="false" ht="15" hidden="false" customHeight="true" outlineLevel="0" collapsed="false">
      <c r="B95" s="65"/>
      <c r="C95" s="66"/>
      <c r="D95" s="54"/>
      <c r="E95" s="65"/>
      <c r="G95" s="65"/>
      <c r="H95" s="66"/>
      <c r="I95" s="54" t="n">
        <v>31000</v>
      </c>
      <c r="J95" s="65" t="s">
        <v>272</v>
      </c>
      <c r="M95" s="65" t="s">
        <v>250</v>
      </c>
      <c r="N95" s="66" t="n">
        <v>30000</v>
      </c>
      <c r="O95" s="54"/>
      <c r="P95" s="65"/>
      <c r="R95" s="65"/>
      <c r="S95" s="66"/>
      <c r="T95" s="54"/>
      <c r="U95" s="65"/>
    </row>
    <row r="96" customFormat="false" ht="15" hidden="false" customHeight="true" outlineLevel="0" collapsed="false">
      <c r="B96" s="65"/>
      <c r="C96" s="66"/>
      <c r="D96" s="54"/>
      <c r="E96" s="65"/>
      <c r="G96" s="65"/>
      <c r="H96" s="66"/>
      <c r="I96" s="54"/>
      <c r="J96" s="65"/>
      <c r="M96" s="65" t="s">
        <v>270</v>
      </c>
      <c r="N96" s="66" t="n">
        <v>30000</v>
      </c>
      <c r="O96" s="54"/>
      <c r="P96" s="65"/>
      <c r="R96" s="65"/>
      <c r="S96" s="66"/>
      <c r="T96" s="54"/>
      <c r="U96" s="65"/>
    </row>
    <row r="97" customFormat="false" ht="15" hidden="false" customHeight="true" outlineLevel="0" collapsed="false">
      <c r="B97" s="65"/>
      <c r="C97" s="66"/>
      <c r="D97" s="54"/>
      <c r="E97" s="65"/>
      <c r="G97" s="65"/>
      <c r="H97" s="66"/>
      <c r="I97" s="54"/>
      <c r="J97" s="65"/>
      <c r="M97" s="65"/>
      <c r="N97" s="66"/>
      <c r="O97" s="54"/>
      <c r="P97" s="65"/>
      <c r="R97" s="65"/>
      <c r="S97" s="66"/>
      <c r="T97" s="54"/>
      <c r="U97" s="65"/>
    </row>
    <row r="98" customFormat="false" ht="15" hidden="false" customHeight="true" outlineLevel="0" collapsed="false">
      <c r="B98" s="65"/>
      <c r="C98" s="66"/>
      <c r="D98" s="54"/>
      <c r="E98" s="65"/>
      <c r="G98" s="65"/>
      <c r="H98" s="66"/>
      <c r="I98" s="54"/>
      <c r="J98" s="65"/>
      <c r="M98" s="65"/>
      <c r="N98" s="66"/>
      <c r="O98" s="54"/>
      <c r="P98" s="65"/>
      <c r="R98" s="65"/>
      <c r="S98" s="66"/>
      <c r="T98" s="54"/>
      <c r="U98" s="65"/>
    </row>
    <row r="99" customFormat="false" ht="15" hidden="false" customHeight="true" outlineLevel="0" collapsed="false">
      <c r="B99" s="65"/>
      <c r="C99" s="66"/>
      <c r="D99" s="54"/>
      <c r="E99" s="65"/>
      <c r="G99" s="65"/>
      <c r="H99" s="66"/>
      <c r="I99" s="54"/>
      <c r="J99" s="65"/>
      <c r="M99" s="65"/>
      <c r="N99" s="66"/>
      <c r="O99" s="54"/>
      <c r="P99" s="65"/>
      <c r="R99" s="65"/>
      <c r="S99" s="66"/>
      <c r="T99" s="54"/>
      <c r="U99" s="65"/>
    </row>
    <row r="100" customFormat="false" ht="15" hidden="false" customHeight="true" outlineLevel="0" collapsed="false">
      <c r="B100" s="65"/>
      <c r="C100" s="66"/>
      <c r="D100" s="54"/>
      <c r="E100" s="65"/>
      <c r="G100" s="65"/>
      <c r="H100" s="66"/>
      <c r="I100" s="54"/>
      <c r="J100" s="65"/>
      <c r="M100" s="65"/>
      <c r="N100" s="66"/>
      <c r="O100" s="54"/>
      <c r="P100" s="65"/>
      <c r="R100" s="65"/>
      <c r="S100" s="66"/>
      <c r="T100" s="54"/>
      <c r="U100" s="65"/>
    </row>
    <row r="101" customFormat="false" ht="15" hidden="false" customHeight="true" outlineLevel="0" collapsed="false">
      <c r="B101" s="65"/>
      <c r="C101" s="66"/>
      <c r="D101" s="54"/>
      <c r="E101" s="65"/>
      <c r="G101" s="65"/>
      <c r="H101" s="66"/>
      <c r="I101" s="54"/>
      <c r="J101" s="65"/>
      <c r="M101" s="65"/>
      <c r="N101" s="66"/>
      <c r="O101" s="54"/>
      <c r="P101" s="65"/>
      <c r="R101" s="65"/>
      <c r="S101" s="66"/>
      <c r="T101" s="54"/>
      <c r="U101" s="65"/>
    </row>
    <row r="102" customFormat="false" ht="15" hidden="false" customHeight="true" outlineLevel="0" collapsed="false">
      <c r="B102" s="65"/>
      <c r="C102" s="66"/>
      <c r="D102" s="54"/>
      <c r="E102" s="65"/>
      <c r="G102" s="65"/>
      <c r="H102" s="66"/>
      <c r="I102" s="54"/>
      <c r="J102" s="65"/>
      <c r="M102" s="65"/>
      <c r="N102" s="66"/>
      <c r="O102" s="54"/>
      <c r="P102" s="65"/>
      <c r="R102" s="65"/>
      <c r="S102" s="66"/>
      <c r="T102" s="54"/>
      <c r="U102" s="65"/>
    </row>
    <row r="103" customFormat="false" ht="15" hidden="false" customHeight="true" outlineLevel="0" collapsed="false">
      <c r="B103" s="65"/>
      <c r="C103" s="66"/>
      <c r="D103" s="54"/>
      <c r="E103" s="65"/>
      <c r="G103" s="65"/>
      <c r="H103" s="66"/>
      <c r="I103" s="54"/>
      <c r="J103" s="65"/>
      <c r="M103" s="65"/>
      <c r="N103" s="66"/>
      <c r="O103" s="54"/>
      <c r="P103" s="65"/>
      <c r="R103" s="65"/>
      <c r="S103" s="66"/>
      <c r="T103" s="54"/>
      <c r="U103" s="65"/>
    </row>
    <row r="104" customFormat="false" ht="15" hidden="false" customHeight="true" outlineLevel="0" collapsed="false">
      <c r="B104" s="65"/>
      <c r="C104" s="66"/>
      <c r="D104" s="54"/>
      <c r="E104" s="65"/>
      <c r="G104" s="65"/>
      <c r="H104" s="66"/>
      <c r="I104" s="54"/>
      <c r="J104" s="65"/>
      <c r="M104" s="65"/>
      <c r="N104" s="66"/>
      <c r="O104" s="54"/>
      <c r="P104" s="65"/>
      <c r="R104" s="65"/>
      <c r="S104" s="66"/>
      <c r="T104" s="54"/>
      <c r="U104" s="65"/>
    </row>
    <row r="105" customFormat="false" ht="15" hidden="false" customHeight="true" outlineLevel="0" collapsed="false">
      <c r="B105" s="65"/>
      <c r="C105" s="66"/>
      <c r="D105" s="54"/>
      <c r="E105" s="65"/>
      <c r="G105" s="65"/>
      <c r="H105" s="66"/>
      <c r="I105" s="54"/>
      <c r="J105" s="65"/>
      <c r="M105" s="65"/>
      <c r="N105" s="66"/>
      <c r="O105" s="54"/>
      <c r="P105" s="65"/>
      <c r="R105" s="65"/>
      <c r="S105" s="66"/>
      <c r="T105" s="54"/>
      <c r="U105" s="65"/>
    </row>
    <row r="106" customFormat="false" ht="15" hidden="false" customHeight="true" outlineLevel="0" collapsed="false">
      <c r="B106" s="65"/>
      <c r="C106" s="66"/>
      <c r="D106" s="54"/>
      <c r="E106" s="65"/>
      <c r="G106" s="65"/>
      <c r="H106" s="66"/>
      <c r="I106" s="54"/>
      <c r="J106" s="65"/>
      <c r="M106" s="65"/>
      <c r="N106" s="66"/>
      <c r="O106" s="54"/>
      <c r="P106" s="65"/>
      <c r="R106" s="65"/>
      <c r="S106" s="66"/>
      <c r="T106" s="54"/>
      <c r="U106" s="65"/>
    </row>
    <row r="107" customFormat="false" ht="15" hidden="false" customHeight="true" outlineLevel="0" collapsed="false">
      <c r="B107" s="65"/>
      <c r="C107" s="66"/>
      <c r="D107" s="54"/>
      <c r="E107" s="65"/>
      <c r="G107" s="65"/>
      <c r="H107" s="66"/>
      <c r="I107" s="54"/>
      <c r="J107" s="65"/>
      <c r="M107" s="65"/>
      <c r="N107" s="66"/>
      <c r="O107" s="54"/>
      <c r="P107" s="65"/>
      <c r="R107" s="65"/>
      <c r="S107" s="66"/>
      <c r="T107" s="54"/>
      <c r="U107" s="65"/>
    </row>
    <row r="108" customFormat="false" ht="15" hidden="false" customHeight="true" outlineLevel="0" collapsed="false">
      <c r="B108" s="65"/>
      <c r="C108" s="66"/>
      <c r="D108" s="54"/>
      <c r="E108" s="65"/>
      <c r="G108" s="65"/>
      <c r="H108" s="66"/>
      <c r="I108" s="54"/>
      <c r="J108" s="65"/>
      <c r="M108" s="65"/>
      <c r="N108" s="66"/>
      <c r="O108" s="54"/>
      <c r="P108" s="65"/>
      <c r="R108" s="65"/>
      <c r="S108" s="66"/>
      <c r="T108" s="54"/>
      <c r="U108" s="65"/>
    </row>
    <row r="109" customFormat="false" ht="15" hidden="false" customHeight="true" outlineLevel="0" collapsed="false">
      <c r="B109" s="67" t="s">
        <v>310</v>
      </c>
      <c r="C109" s="68" t="n">
        <f aca="false">SUM(C93:C108)</f>
        <v>6620000</v>
      </c>
      <c r="D109" s="69" t="n">
        <f aca="false">SUM(D93:D108)</f>
        <v>6000000</v>
      </c>
      <c r="E109" s="67" t="s">
        <v>310</v>
      </c>
      <c r="G109" s="67" t="s">
        <v>310</v>
      </c>
      <c r="H109" s="68" t="n">
        <f aca="false">SUM(H93:H108)</f>
        <v>5400000</v>
      </c>
      <c r="I109" s="69" t="n">
        <f aca="false">SUM(I93:I108)</f>
        <v>5462000</v>
      </c>
      <c r="J109" s="67" t="s">
        <v>310</v>
      </c>
      <c r="M109" s="67" t="s">
        <v>310</v>
      </c>
      <c r="N109" s="68" t="n">
        <f aca="false">SUM(N93:N108)</f>
        <v>90000</v>
      </c>
      <c r="O109" s="69" t="n">
        <f aca="false">SUM(O93:O108)</f>
        <v>600000</v>
      </c>
      <c r="P109" s="67" t="s">
        <v>310</v>
      </c>
      <c r="R109" s="67" t="s">
        <v>310</v>
      </c>
      <c r="S109" s="68" t="n">
        <f aca="false">SUM(S93:S108)</f>
        <v>0</v>
      </c>
      <c r="T109" s="69" t="n">
        <f aca="false">SUM(T93:T108)</f>
        <v>0</v>
      </c>
      <c r="U109" s="67" t="s">
        <v>310</v>
      </c>
    </row>
    <row r="110" customFormat="false" ht="15" hidden="false" customHeight="true" outlineLevel="0" collapsed="false">
      <c r="B110" s="70" t="s">
        <v>312</v>
      </c>
      <c r="C110" s="71" t="n">
        <f aca="false">C109-D109</f>
        <v>620000</v>
      </c>
      <c r="D110" s="72"/>
      <c r="H110" s="73"/>
      <c r="I110" s="76" t="n">
        <f aca="false">I109-H109</f>
        <v>62000</v>
      </c>
      <c r="J110" s="70" t="s">
        <v>312</v>
      </c>
      <c r="N110" s="73"/>
      <c r="O110" s="74" t="n">
        <f aca="false">O109-N109</f>
        <v>510000</v>
      </c>
      <c r="P110" s="75" t="s">
        <v>312</v>
      </c>
      <c r="S110" s="73"/>
      <c r="T110" s="74" t="n">
        <f aca="false">T109-S109</f>
        <v>0</v>
      </c>
      <c r="U110" s="75" t="s">
        <v>312</v>
      </c>
    </row>
    <row r="112" customFormat="false" ht="15" hidden="false" customHeight="true" outlineLevel="0" collapsed="false">
      <c r="B112" s="58" t="s">
        <v>236</v>
      </c>
      <c r="C112" s="58"/>
      <c r="D112" s="58"/>
      <c r="E112" s="58"/>
      <c r="G112" s="58" t="s">
        <v>256</v>
      </c>
      <c r="H112" s="58"/>
      <c r="I112" s="58"/>
      <c r="J112" s="58"/>
      <c r="M112" s="77" t="s">
        <v>328</v>
      </c>
      <c r="N112" s="77"/>
      <c r="O112" s="77"/>
      <c r="P112" s="77"/>
      <c r="R112" s="77" t="s">
        <v>329</v>
      </c>
      <c r="S112" s="77"/>
      <c r="T112" s="77"/>
      <c r="U112" s="77"/>
    </row>
    <row r="113" customFormat="false" ht="15" hidden="false" customHeight="true" outlineLevel="0" collapsed="false">
      <c r="B113" s="60" t="s">
        <v>107</v>
      </c>
      <c r="C113" s="61" t="s">
        <v>288</v>
      </c>
      <c r="D113" s="60" t="s">
        <v>289</v>
      </c>
      <c r="E113" s="60" t="s">
        <v>107</v>
      </c>
      <c r="G113" s="60" t="s">
        <v>107</v>
      </c>
      <c r="H113" s="61" t="s">
        <v>290</v>
      </c>
      <c r="I113" s="60" t="s">
        <v>291</v>
      </c>
      <c r="J113" s="60" t="s">
        <v>107</v>
      </c>
      <c r="M113" s="60" t="s">
        <v>107</v>
      </c>
      <c r="N113" s="61" t="s">
        <v>290</v>
      </c>
      <c r="O113" s="60" t="s">
        <v>291</v>
      </c>
      <c r="P113" s="60" t="s">
        <v>107</v>
      </c>
      <c r="R113" s="60" t="s">
        <v>107</v>
      </c>
      <c r="S113" s="61" t="s">
        <v>290</v>
      </c>
      <c r="T113" s="60" t="s">
        <v>291</v>
      </c>
      <c r="U113" s="60" t="s">
        <v>107</v>
      </c>
    </row>
    <row r="114" customFormat="false" ht="15" hidden="false" customHeight="true" outlineLevel="0" collapsed="false">
      <c r="B114" s="62" t="s">
        <v>293</v>
      </c>
      <c r="C114" s="63"/>
      <c r="D114" s="64"/>
      <c r="E114" s="62"/>
      <c r="G114" s="62"/>
      <c r="H114" s="63"/>
      <c r="I114" s="64"/>
      <c r="J114" s="62" t="s">
        <v>293</v>
      </c>
      <c r="M114" s="62"/>
      <c r="N114" s="63"/>
      <c r="O114" s="64"/>
      <c r="P114" s="62" t="s">
        <v>293</v>
      </c>
      <c r="R114" s="62"/>
      <c r="S114" s="63"/>
      <c r="T114" s="64"/>
      <c r="U114" s="62" t="s">
        <v>293</v>
      </c>
    </row>
    <row r="115" customFormat="false" ht="15" hidden="false" customHeight="true" outlineLevel="0" collapsed="false">
      <c r="B115" s="65" t="s">
        <v>234</v>
      </c>
      <c r="C115" s="66" t="n">
        <v>310000</v>
      </c>
      <c r="D115" s="54"/>
      <c r="E115" s="65"/>
      <c r="G115" s="65"/>
      <c r="H115" s="66"/>
      <c r="I115" s="54" t="n">
        <v>31000</v>
      </c>
      <c r="J115" s="65" t="s">
        <v>252</v>
      </c>
      <c r="M115" s="65"/>
      <c r="N115" s="66"/>
      <c r="O115" s="54"/>
      <c r="P115" s="65"/>
      <c r="R115" s="65"/>
      <c r="S115" s="66"/>
      <c r="T115" s="54"/>
      <c r="U115" s="65"/>
    </row>
    <row r="116" customFormat="false" ht="15" hidden="false" customHeight="true" outlineLevel="0" collapsed="false">
      <c r="B116" s="65" t="s">
        <v>132</v>
      </c>
      <c r="C116" s="66" t="n">
        <v>40000</v>
      </c>
      <c r="D116" s="54"/>
      <c r="E116" s="65"/>
      <c r="G116" s="65"/>
      <c r="H116" s="66"/>
      <c r="I116" s="54" t="n">
        <v>35000</v>
      </c>
      <c r="J116" s="65" t="s">
        <v>272</v>
      </c>
      <c r="M116" s="65"/>
      <c r="N116" s="66"/>
      <c r="O116" s="54"/>
      <c r="P116" s="65"/>
      <c r="R116" s="65"/>
      <c r="S116" s="66"/>
      <c r="T116" s="54"/>
      <c r="U116" s="65"/>
    </row>
    <row r="117" customFormat="false" ht="15" hidden="false" customHeight="true" outlineLevel="0" collapsed="false">
      <c r="B117" s="65" t="s">
        <v>241</v>
      </c>
      <c r="C117" s="66" t="n">
        <v>196600</v>
      </c>
      <c r="D117" s="54"/>
      <c r="E117" s="65"/>
      <c r="G117" s="65"/>
      <c r="H117" s="66"/>
      <c r="I117" s="54"/>
      <c r="J117" s="65"/>
      <c r="M117" s="65"/>
      <c r="N117" s="66"/>
      <c r="O117" s="54"/>
      <c r="P117" s="65"/>
      <c r="R117" s="65"/>
      <c r="S117" s="66"/>
      <c r="T117" s="54"/>
      <c r="U117" s="65"/>
    </row>
    <row r="118" customFormat="false" ht="15" hidden="false" customHeight="true" outlineLevel="0" collapsed="false">
      <c r="B118" s="65" t="s">
        <v>243</v>
      </c>
      <c r="C118" s="66" t="n">
        <v>3000</v>
      </c>
      <c r="D118" s="54"/>
      <c r="E118" s="65"/>
      <c r="G118" s="65"/>
      <c r="H118" s="66"/>
      <c r="I118" s="54"/>
      <c r="J118" s="65"/>
      <c r="M118" s="65"/>
      <c r="N118" s="66"/>
      <c r="O118" s="54"/>
      <c r="P118" s="65"/>
      <c r="R118" s="65"/>
      <c r="S118" s="66"/>
      <c r="T118" s="54"/>
      <c r="U118" s="65"/>
    </row>
    <row r="119" customFormat="false" ht="15" hidden="false" customHeight="true" outlineLevel="0" collapsed="false">
      <c r="B119" s="65"/>
      <c r="C119" s="66"/>
      <c r="D119" s="54"/>
      <c r="E119" s="65"/>
      <c r="G119" s="65"/>
      <c r="H119" s="66"/>
      <c r="I119" s="54"/>
      <c r="J119" s="65"/>
      <c r="M119" s="65"/>
      <c r="N119" s="66"/>
      <c r="O119" s="54"/>
      <c r="P119" s="65"/>
      <c r="R119" s="65"/>
      <c r="S119" s="66"/>
      <c r="T119" s="54"/>
      <c r="U119" s="65"/>
    </row>
    <row r="120" customFormat="false" ht="15" hidden="false" customHeight="true" outlineLevel="0" collapsed="false">
      <c r="B120" s="65"/>
      <c r="C120" s="66"/>
      <c r="D120" s="54"/>
      <c r="E120" s="65"/>
      <c r="G120" s="65"/>
      <c r="H120" s="66"/>
      <c r="I120" s="54"/>
      <c r="J120" s="65"/>
      <c r="M120" s="65"/>
      <c r="N120" s="66"/>
      <c r="O120" s="54"/>
      <c r="P120" s="65"/>
      <c r="R120" s="65"/>
      <c r="S120" s="66"/>
      <c r="T120" s="54"/>
      <c r="U120" s="65"/>
    </row>
    <row r="121" customFormat="false" ht="15" hidden="false" customHeight="true" outlineLevel="0" collapsed="false">
      <c r="B121" s="65"/>
      <c r="C121" s="66"/>
      <c r="D121" s="54"/>
      <c r="E121" s="65"/>
      <c r="G121" s="65"/>
      <c r="H121" s="66"/>
      <c r="I121" s="54"/>
      <c r="J121" s="65"/>
      <c r="M121" s="65"/>
      <c r="N121" s="66"/>
      <c r="O121" s="54"/>
      <c r="P121" s="65"/>
      <c r="R121" s="65"/>
      <c r="S121" s="66"/>
      <c r="T121" s="54"/>
      <c r="U121" s="65"/>
    </row>
    <row r="122" customFormat="false" ht="15" hidden="false" customHeight="true" outlineLevel="0" collapsed="false">
      <c r="B122" s="65"/>
      <c r="C122" s="66"/>
      <c r="D122" s="54"/>
      <c r="E122" s="65"/>
      <c r="G122" s="65"/>
      <c r="H122" s="66"/>
      <c r="I122" s="54"/>
      <c r="J122" s="65"/>
      <c r="M122" s="65"/>
      <c r="N122" s="66"/>
      <c r="O122" s="54"/>
      <c r="P122" s="65"/>
      <c r="R122" s="65"/>
      <c r="S122" s="66"/>
      <c r="T122" s="54"/>
      <c r="U122" s="65"/>
    </row>
    <row r="123" customFormat="false" ht="15" hidden="false" customHeight="true" outlineLevel="0" collapsed="false">
      <c r="B123" s="65"/>
      <c r="C123" s="66"/>
      <c r="D123" s="54"/>
      <c r="E123" s="65"/>
      <c r="G123" s="65"/>
      <c r="H123" s="66"/>
      <c r="I123" s="54"/>
      <c r="J123" s="65"/>
      <c r="M123" s="65"/>
      <c r="N123" s="66"/>
      <c r="O123" s="54"/>
      <c r="P123" s="65"/>
      <c r="R123" s="65"/>
      <c r="S123" s="66"/>
      <c r="T123" s="54"/>
      <c r="U123" s="65"/>
    </row>
    <row r="124" customFormat="false" ht="15" hidden="false" customHeight="true" outlineLevel="0" collapsed="false">
      <c r="B124" s="65"/>
      <c r="C124" s="66"/>
      <c r="D124" s="54"/>
      <c r="E124" s="65"/>
      <c r="G124" s="65"/>
      <c r="H124" s="66"/>
      <c r="I124" s="54"/>
      <c r="J124" s="65"/>
      <c r="M124" s="65"/>
      <c r="N124" s="66"/>
      <c r="O124" s="54"/>
      <c r="P124" s="65"/>
      <c r="R124" s="65"/>
      <c r="S124" s="66"/>
      <c r="T124" s="54"/>
      <c r="U124" s="65"/>
    </row>
    <row r="125" customFormat="false" ht="15" hidden="false" customHeight="true" outlineLevel="0" collapsed="false">
      <c r="B125" s="65"/>
      <c r="C125" s="66"/>
      <c r="D125" s="54"/>
      <c r="E125" s="65"/>
      <c r="G125" s="65"/>
      <c r="H125" s="66"/>
      <c r="I125" s="54"/>
      <c r="J125" s="65"/>
      <c r="M125" s="65"/>
      <c r="N125" s="66"/>
      <c r="O125" s="54"/>
      <c r="P125" s="65"/>
      <c r="R125" s="65"/>
      <c r="S125" s="66"/>
      <c r="T125" s="54"/>
      <c r="U125" s="65"/>
    </row>
    <row r="126" customFormat="false" ht="15" hidden="false" customHeight="true" outlineLevel="0" collapsed="false">
      <c r="B126" s="65"/>
      <c r="C126" s="66"/>
      <c r="D126" s="54"/>
      <c r="E126" s="65"/>
      <c r="G126" s="65"/>
      <c r="H126" s="66"/>
      <c r="I126" s="54"/>
      <c r="J126" s="65"/>
      <c r="M126" s="65"/>
      <c r="N126" s="66"/>
      <c r="O126" s="54"/>
      <c r="P126" s="65"/>
      <c r="R126" s="65"/>
      <c r="S126" s="66"/>
      <c r="T126" s="54"/>
      <c r="U126" s="65"/>
    </row>
    <row r="127" customFormat="false" ht="15" hidden="false" customHeight="true" outlineLevel="0" collapsed="false">
      <c r="B127" s="65"/>
      <c r="C127" s="66"/>
      <c r="D127" s="54"/>
      <c r="E127" s="65"/>
      <c r="G127" s="65"/>
      <c r="H127" s="66"/>
      <c r="I127" s="54"/>
      <c r="J127" s="65"/>
      <c r="M127" s="65"/>
      <c r="N127" s="66"/>
      <c r="O127" s="54"/>
      <c r="P127" s="65"/>
      <c r="R127" s="65"/>
      <c r="S127" s="66"/>
      <c r="T127" s="54"/>
      <c r="U127" s="65"/>
    </row>
    <row r="128" customFormat="false" ht="15" hidden="false" customHeight="true" outlineLevel="0" collapsed="false">
      <c r="B128" s="65"/>
      <c r="C128" s="66"/>
      <c r="D128" s="54"/>
      <c r="E128" s="65"/>
      <c r="G128" s="65"/>
      <c r="H128" s="66"/>
      <c r="I128" s="54"/>
      <c r="J128" s="65"/>
      <c r="M128" s="65"/>
      <c r="N128" s="66"/>
      <c r="O128" s="54"/>
      <c r="P128" s="65"/>
      <c r="R128" s="65"/>
      <c r="S128" s="66"/>
      <c r="T128" s="54"/>
      <c r="U128" s="65"/>
    </row>
    <row r="129" customFormat="false" ht="15" hidden="false" customHeight="true" outlineLevel="0" collapsed="false">
      <c r="B129" s="65"/>
      <c r="C129" s="66"/>
      <c r="D129" s="54"/>
      <c r="E129" s="65"/>
      <c r="G129" s="65"/>
      <c r="H129" s="66"/>
      <c r="I129" s="54"/>
      <c r="J129" s="65"/>
      <c r="M129" s="65"/>
      <c r="N129" s="66"/>
      <c r="O129" s="54"/>
      <c r="P129" s="65"/>
      <c r="R129" s="65"/>
      <c r="S129" s="66"/>
      <c r="T129" s="54"/>
      <c r="U129" s="65"/>
    </row>
    <row r="130" customFormat="false" ht="15" hidden="false" customHeight="true" outlineLevel="0" collapsed="false">
      <c r="B130" s="67" t="s">
        <v>310</v>
      </c>
      <c r="C130" s="68" t="n">
        <f aca="false">SUM(C114:C129)</f>
        <v>549600</v>
      </c>
      <c r="D130" s="69" t="n">
        <f aca="false">SUM(D114:D129)</f>
        <v>0</v>
      </c>
      <c r="E130" s="67" t="s">
        <v>310</v>
      </c>
      <c r="G130" s="67" t="s">
        <v>310</v>
      </c>
      <c r="H130" s="68" t="n">
        <f aca="false">SUM(H114:H129)</f>
        <v>0</v>
      </c>
      <c r="I130" s="69" t="n">
        <f aca="false">SUM(I114:I129)</f>
        <v>66000</v>
      </c>
      <c r="J130" s="67" t="s">
        <v>310</v>
      </c>
      <c r="M130" s="67" t="s">
        <v>310</v>
      </c>
      <c r="N130" s="68" t="n">
        <f aca="false">SUM(N114:N129)</f>
        <v>0</v>
      </c>
      <c r="O130" s="69" t="n">
        <f aca="false">SUM(O114:O129)</f>
        <v>0</v>
      </c>
      <c r="P130" s="67" t="s">
        <v>310</v>
      </c>
      <c r="R130" s="67" t="s">
        <v>310</v>
      </c>
      <c r="S130" s="68" t="n">
        <f aca="false">SUM(S114:S129)</f>
        <v>0</v>
      </c>
      <c r="T130" s="69" t="n">
        <f aca="false">SUM(T114:T129)</f>
        <v>0</v>
      </c>
      <c r="U130" s="67" t="s">
        <v>310</v>
      </c>
    </row>
    <row r="131" customFormat="false" ht="15" hidden="false" customHeight="true" outlineLevel="0" collapsed="false">
      <c r="B131" s="70" t="s">
        <v>312</v>
      </c>
      <c r="C131" s="71" t="n">
        <f aca="false">C130-D130</f>
        <v>549600</v>
      </c>
      <c r="D131" s="72"/>
      <c r="H131" s="73"/>
      <c r="I131" s="76" t="n">
        <f aca="false">I130-H130</f>
        <v>66000</v>
      </c>
      <c r="J131" s="70" t="s">
        <v>312</v>
      </c>
      <c r="N131" s="73"/>
      <c r="O131" s="78" t="n">
        <f aca="false">O130-N130</f>
        <v>0</v>
      </c>
      <c r="P131" s="79" t="s">
        <v>312</v>
      </c>
      <c r="S131" s="73"/>
      <c r="T131" s="78" t="n">
        <f aca="false">T130-S130</f>
        <v>0</v>
      </c>
      <c r="U131" s="79" t="s">
        <v>312</v>
      </c>
    </row>
    <row r="133" customFormat="false" ht="15" hidden="false" customHeight="true" outlineLevel="0" collapsed="false">
      <c r="B133" s="58" t="s">
        <v>259</v>
      </c>
      <c r="C133" s="58"/>
      <c r="D133" s="58"/>
      <c r="E133" s="58"/>
      <c r="G133" s="58" t="s">
        <v>277</v>
      </c>
      <c r="H133" s="58"/>
      <c r="I133" s="58"/>
      <c r="J133" s="58"/>
      <c r="M133" s="77" t="s">
        <v>330</v>
      </c>
      <c r="N133" s="77"/>
      <c r="O133" s="77"/>
      <c r="P133" s="77"/>
      <c r="R133" s="80" t="s">
        <v>331</v>
      </c>
      <c r="S133" s="80"/>
      <c r="T133" s="80"/>
      <c r="U133" s="80"/>
    </row>
    <row r="134" customFormat="false" ht="15" hidden="false" customHeight="true" outlineLevel="0" collapsed="false">
      <c r="B134" s="60" t="s">
        <v>107</v>
      </c>
      <c r="C134" s="61" t="s">
        <v>288</v>
      </c>
      <c r="D134" s="60" t="s">
        <v>289</v>
      </c>
      <c r="E134" s="60" t="s">
        <v>107</v>
      </c>
      <c r="G134" s="60" t="s">
        <v>107</v>
      </c>
      <c r="H134" s="61" t="s">
        <v>290</v>
      </c>
      <c r="I134" s="60" t="s">
        <v>291</v>
      </c>
      <c r="J134" s="60" t="s">
        <v>107</v>
      </c>
      <c r="M134" s="60" t="s">
        <v>107</v>
      </c>
      <c r="N134" s="61" t="s">
        <v>290</v>
      </c>
      <c r="O134" s="60" t="s">
        <v>291</v>
      </c>
      <c r="P134" s="60" t="s">
        <v>107</v>
      </c>
      <c r="R134" s="60" t="s">
        <v>107</v>
      </c>
      <c r="S134" s="61" t="s">
        <v>332</v>
      </c>
      <c r="T134" s="60" t="s">
        <v>333</v>
      </c>
      <c r="U134" s="60" t="s">
        <v>107</v>
      </c>
    </row>
    <row r="135" customFormat="false" ht="15" hidden="false" customHeight="true" outlineLevel="0" collapsed="false">
      <c r="B135" s="62" t="s">
        <v>293</v>
      </c>
      <c r="C135" s="63"/>
      <c r="D135" s="64"/>
      <c r="E135" s="62"/>
      <c r="G135" s="62"/>
      <c r="H135" s="63"/>
      <c r="I135" s="64"/>
      <c r="J135" s="62" t="s">
        <v>293</v>
      </c>
      <c r="M135" s="62"/>
      <c r="N135" s="63"/>
      <c r="O135" s="64"/>
      <c r="P135" s="62" t="s">
        <v>293</v>
      </c>
      <c r="R135" s="62"/>
      <c r="S135" s="63"/>
      <c r="T135" s="64"/>
      <c r="U135" s="62" t="s">
        <v>293</v>
      </c>
    </row>
    <row r="136" customFormat="false" ht="15" hidden="false" customHeight="true" outlineLevel="0" collapsed="false">
      <c r="B136" s="65" t="s">
        <v>257</v>
      </c>
      <c r="C136" s="66" t="n">
        <v>1000000</v>
      </c>
      <c r="D136" s="54"/>
      <c r="E136" s="65"/>
      <c r="G136" s="65"/>
      <c r="H136" s="66"/>
      <c r="I136" s="54" t="n">
        <v>142000</v>
      </c>
      <c r="J136" s="65" t="s">
        <v>274</v>
      </c>
      <c r="M136" s="65"/>
      <c r="N136" s="66"/>
      <c r="O136" s="54"/>
      <c r="P136" s="65"/>
      <c r="R136" s="65" t="s">
        <v>128</v>
      </c>
      <c r="S136" s="66" t="n">
        <v>8000</v>
      </c>
      <c r="T136" s="54" t="n">
        <v>7400000</v>
      </c>
      <c r="U136" s="65" t="s">
        <v>116</v>
      </c>
    </row>
    <row r="137" customFormat="false" ht="15" hidden="false" customHeight="true" outlineLevel="0" collapsed="false">
      <c r="B137" s="65"/>
      <c r="C137" s="66"/>
      <c r="D137" s="54"/>
      <c r="E137" s="65"/>
      <c r="G137" s="65"/>
      <c r="H137" s="66"/>
      <c r="I137" s="54" t="n">
        <v>278000</v>
      </c>
      <c r="J137" s="65" t="s">
        <v>152</v>
      </c>
      <c r="M137" s="65"/>
      <c r="N137" s="66"/>
      <c r="O137" s="54"/>
      <c r="P137" s="65"/>
      <c r="R137" s="65" t="s">
        <v>247</v>
      </c>
      <c r="S137" s="66" t="n">
        <v>28500</v>
      </c>
      <c r="T137" s="54" t="n">
        <v>3000</v>
      </c>
      <c r="U137" s="65" t="s">
        <v>243</v>
      </c>
    </row>
    <row r="138" customFormat="false" ht="15" hidden="false" customHeight="true" outlineLevel="0" collapsed="false">
      <c r="B138" s="65"/>
      <c r="C138" s="66"/>
      <c r="D138" s="54"/>
      <c r="E138" s="65"/>
      <c r="G138" s="65"/>
      <c r="H138" s="66"/>
      <c r="I138" s="54"/>
      <c r="J138" s="65"/>
      <c r="M138" s="65"/>
      <c r="N138" s="66"/>
      <c r="O138" s="54"/>
      <c r="P138" s="65"/>
      <c r="R138" s="65" t="s">
        <v>252</v>
      </c>
      <c r="S138" s="66" t="n">
        <v>62000</v>
      </c>
      <c r="T138" s="54" t="n">
        <v>420000</v>
      </c>
      <c r="U138" s="65" t="s">
        <v>260</v>
      </c>
    </row>
    <row r="139" customFormat="false" ht="15" hidden="false" customHeight="true" outlineLevel="0" collapsed="false">
      <c r="B139" s="65"/>
      <c r="C139" s="66"/>
      <c r="D139" s="54"/>
      <c r="E139" s="65"/>
      <c r="G139" s="65"/>
      <c r="H139" s="66"/>
      <c r="I139" s="54"/>
      <c r="J139" s="65"/>
      <c r="M139" s="65"/>
      <c r="N139" s="66"/>
      <c r="O139" s="54"/>
      <c r="P139" s="65"/>
      <c r="R139" s="65" t="s">
        <v>144</v>
      </c>
      <c r="S139" s="66" t="n">
        <v>224000</v>
      </c>
      <c r="T139" s="54"/>
      <c r="U139" s="65"/>
    </row>
    <row r="140" customFormat="false" ht="15" hidden="false" customHeight="true" outlineLevel="0" collapsed="false">
      <c r="B140" s="65"/>
      <c r="C140" s="66"/>
      <c r="D140" s="54"/>
      <c r="E140" s="65"/>
      <c r="G140" s="65"/>
      <c r="H140" s="66"/>
      <c r="I140" s="54"/>
      <c r="J140" s="65"/>
      <c r="M140" s="65"/>
      <c r="N140" s="66"/>
      <c r="O140" s="54"/>
      <c r="P140" s="65"/>
      <c r="R140" s="65" t="s">
        <v>268</v>
      </c>
      <c r="S140" s="66" t="n">
        <v>27000</v>
      </c>
      <c r="T140" s="54"/>
      <c r="U140" s="65"/>
    </row>
    <row r="141" customFormat="false" ht="15" hidden="false" customHeight="true" outlineLevel="0" collapsed="false">
      <c r="B141" s="65"/>
      <c r="C141" s="66"/>
      <c r="D141" s="54"/>
      <c r="E141" s="65"/>
      <c r="G141" s="65"/>
      <c r="H141" s="66"/>
      <c r="I141" s="54"/>
      <c r="J141" s="65"/>
      <c r="M141" s="65"/>
      <c r="N141" s="66"/>
      <c r="O141" s="54"/>
      <c r="P141" s="65"/>
      <c r="R141" s="65" t="s">
        <v>274</v>
      </c>
      <c r="S141" s="66" t="n">
        <v>142000</v>
      </c>
      <c r="T141" s="54"/>
      <c r="U141" s="65"/>
    </row>
    <row r="142" customFormat="false" ht="15" hidden="false" customHeight="true" outlineLevel="0" collapsed="false">
      <c r="B142" s="65"/>
      <c r="C142" s="66"/>
      <c r="D142" s="54"/>
      <c r="E142" s="65"/>
      <c r="G142" s="65"/>
      <c r="H142" s="66"/>
      <c r="I142" s="54"/>
      <c r="J142" s="65"/>
      <c r="M142" s="65"/>
      <c r="N142" s="66"/>
      <c r="O142" s="54"/>
      <c r="P142" s="65"/>
      <c r="R142" s="65" t="s">
        <v>152</v>
      </c>
      <c r="S142" s="66" t="n">
        <v>278000</v>
      </c>
      <c r="T142" s="54"/>
      <c r="U142" s="65"/>
    </row>
    <row r="143" customFormat="false" ht="15" hidden="false" customHeight="true" outlineLevel="0" collapsed="false">
      <c r="B143" s="65"/>
      <c r="C143" s="66"/>
      <c r="D143" s="54"/>
      <c r="E143" s="65"/>
      <c r="G143" s="65"/>
      <c r="H143" s="66"/>
      <c r="I143" s="54"/>
      <c r="J143" s="65"/>
      <c r="M143" s="65"/>
      <c r="N143" s="66"/>
      <c r="O143" s="54"/>
      <c r="P143" s="65"/>
      <c r="R143" s="65" t="s">
        <v>272</v>
      </c>
      <c r="S143" s="66" t="n">
        <v>66000</v>
      </c>
      <c r="T143" s="54"/>
      <c r="U143" s="65"/>
    </row>
    <row r="144" customFormat="false" ht="15" hidden="false" customHeight="true" outlineLevel="0" collapsed="false">
      <c r="B144" s="65"/>
      <c r="C144" s="66"/>
      <c r="D144" s="54"/>
      <c r="E144" s="65"/>
      <c r="G144" s="65"/>
      <c r="H144" s="66"/>
      <c r="I144" s="54"/>
      <c r="J144" s="65"/>
      <c r="M144" s="65"/>
      <c r="N144" s="66"/>
      <c r="O144" s="54"/>
      <c r="P144" s="65"/>
      <c r="R144" s="65"/>
      <c r="S144" s="66"/>
      <c r="T144" s="54"/>
      <c r="U144" s="65"/>
    </row>
    <row r="145" customFormat="false" ht="15" hidden="false" customHeight="true" outlineLevel="0" collapsed="false">
      <c r="B145" s="65"/>
      <c r="C145" s="66"/>
      <c r="D145" s="54"/>
      <c r="E145" s="65"/>
      <c r="G145" s="65"/>
      <c r="H145" s="66"/>
      <c r="I145" s="54"/>
      <c r="J145" s="65"/>
      <c r="M145" s="65"/>
      <c r="N145" s="66"/>
      <c r="O145" s="54"/>
      <c r="P145" s="65"/>
      <c r="R145" s="65"/>
      <c r="S145" s="66"/>
      <c r="T145" s="54"/>
      <c r="U145" s="65"/>
    </row>
    <row r="146" customFormat="false" ht="15" hidden="false" customHeight="true" outlineLevel="0" collapsed="false">
      <c r="B146" s="65"/>
      <c r="C146" s="66"/>
      <c r="D146" s="54"/>
      <c r="E146" s="65"/>
      <c r="G146" s="65"/>
      <c r="H146" s="66"/>
      <c r="I146" s="54"/>
      <c r="J146" s="65"/>
      <c r="M146" s="65"/>
      <c r="N146" s="66"/>
      <c r="O146" s="54"/>
      <c r="P146" s="65"/>
      <c r="R146" s="65"/>
      <c r="S146" s="66"/>
      <c r="T146" s="54"/>
      <c r="U146" s="65"/>
    </row>
    <row r="147" customFormat="false" ht="15" hidden="false" customHeight="true" outlineLevel="0" collapsed="false">
      <c r="B147" s="65"/>
      <c r="C147" s="66"/>
      <c r="D147" s="54"/>
      <c r="E147" s="65"/>
      <c r="G147" s="65"/>
      <c r="H147" s="66"/>
      <c r="I147" s="54"/>
      <c r="J147" s="65"/>
      <c r="M147" s="65"/>
      <c r="N147" s="66"/>
      <c r="O147" s="54"/>
      <c r="P147" s="65"/>
      <c r="R147" s="65"/>
      <c r="S147" s="66"/>
      <c r="T147" s="54"/>
      <c r="U147" s="65"/>
    </row>
    <row r="148" customFormat="false" ht="15" hidden="false" customHeight="true" outlineLevel="0" collapsed="false">
      <c r="B148" s="65"/>
      <c r="C148" s="66"/>
      <c r="D148" s="54"/>
      <c r="E148" s="65"/>
      <c r="G148" s="65"/>
      <c r="H148" s="66"/>
      <c r="I148" s="54"/>
      <c r="J148" s="65"/>
      <c r="M148" s="65"/>
      <c r="N148" s="66"/>
      <c r="O148" s="54"/>
      <c r="P148" s="65"/>
      <c r="R148" s="65"/>
      <c r="S148" s="66"/>
      <c r="T148" s="54"/>
      <c r="U148" s="65"/>
    </row>
    <row r="149" customFormat="false" ht="15" hidden="false" customHeight="true" outlineLevel="0" collapsed="false">
      <c r="B149" s="65"/>
      <c r="C149" s="66"/>
      <c r="D149" s="54"/>
      <c r="E149" s="65"/>
      <c r="G149" s="65"/>
      <c r="H149" s="66"/>
      <c r="I149" s="54"/>
      <c r="J149" s="65"/>
      <c r="M149" s="65"/>
      <c r="N149" s="66"/>
      <c r="O149" s="54"/>
      <c r="P149" s="65"/>
      <c r="R149" s="65"/>
      <c r="S149" s="66"/>
      <c r="T149" s="54"/>
      <c r="U149" s="65"/>
    </row>
    <row r="150" customFormat="false" ht="15" hidden="false" customHeight="true" outlineLevel="0" collapsed="false">
      <c r="B150" s="65"/>
      <c r="C150" s="66"/>
      <c r="D150" s="54"/>
      <c r="E150" s="65"/>
      <c r="G150" s="65"/>
      <c r="H150" s="66"/>
      <c r="I150" s="54"/>
      <c r="J150" s="65"/>
      <c r="M150" s="65"/>
      <c r="N150" s="66"/>
      <c r="O150" s="54"/>
      <c r="P150" s="65"/>
      <c r="R150" s="65"/>
      <c r="S150" s="66"/>
      <c r="T150" s="54"/>
      <c r="U150" s="65"/>
    </row>
    <row r="151" customFormat="false" ht="15" hidden="false" customHeight="true" outlineLevel="0" collapsed="false">
      <c r="B151" s="67" t="s">
        <v>310</v>
      </c>
      <c r="C151" s="68" t="n">
        <f aca="false">SUM(C135:C150)</f>
        <v>1000000</v>
      </c>
      <c r="D151" s="69" t="n">
        <f aca="false">SUM(D135:D150)</f>
        <v>0</v>
      </c>
      <c r="E151" s="67" t="s">
        <v>310</v>
      </c>
      <c r="G151" s="67" t="s">
        <v>310</v>
      </c>
      <c r="H151" s="68" t="n">
        <f aca="false">SUM(H135:H150)</f>
        <v>0</v>
      </c>
      <c r="I151" s="69" t="n">
        <f aca="false">SUM(I135:I150)</f>
        <v>420000</v>
      </c>
      <c r="J151" s="67" t="s">
        <v>310</v>
      </c>
      <c r="M151" s="67" t="s">
        <v>310</v>
      </c>
      <c r="N151" s="68" t="n">
        <f aca="false">SUM(N135:N150)</f>
        <v>0</v>
      </c>
      <c r="O151" s="69" t="n">
        <f aca="false">SUM(O135:O150)</f>
        <v>0</v>
      </c>
      <c r="P151" s="67" t="s">
        <v>310</v>
      </c>
      <c r="R151" s="67" t="s">
        <v>310</v>
      </c>
      <c r="S151" s="68" t="n">
        <f aca="false">SUM(S135:S150)</f>
        <v>835500</v>
      </c>
      <c r="T151" s="69" t="n">
        <f aca="false">SUM(T135:T150)</f>
        <v>7823000</v>
      </c>
      <c r="U151" s="67" t="s">
        <v>310</v>
      </c>
    </row>
    <row r="152" customFormat="false" ht="15" hidden="false" customHeight="true" outlineLevel="0" collapsed="false">
      <c r="B152" s="70" t="s">
        <v>312</v>
      </c>
      <c r="C152" s="71" t="n">
        <f aca="false">C151-D151</f>
        <v>1000000</v>
      </c>
      <c r="D152" s="72"/>
      <c r="H152" s="73"/>
      <c r="I152" s="76" t="n">
        <f aca="false">I151-H151</f>
        <v>420000</v>
      </c>
      <c r="J152" s="70" t="s">
        <v>312</v>
      </c>
      <c r="N152" s="73"/>
      <c r="O152" s="78" t="n">
        <f aca="false">O151-N151</f>
        <v>0</v>
      </c>
      <c r="P152" s="79" t="s">
        <v>312</v>
      </c>
      <c r="S152" s="73"/>
      <c r="T152" s="81" t="n">
        <f aca="false">T151-S151</f>
        <v>6987500</v>
      </c>
      <c r="U152" s="82" t="s">
        <v>312</v>
      </c>
    </row>
    <row r="155" customFormat="false" ht="15" hidden="false" customHeight="true" outlineLevel="0" collapsed="false">
      <c r="B155" s="83" t="s">
        <v>334</v>
      </c>
      <c r="C155" s="83"/>
      <c r="D155" s="83"/>
      <c r="E155" s="83"/>
      <c r="F155" s="83"/>
      <c r="G155" s="83"/>
      <c r="H155" s="83"/>
      <c r="I155" s="83"/>
      <c r="J155" s="83"/>
      <c r="L155" s="84" t="n">
        <f aca="false">(C25+H25+C46+H46+C67+H67+C88+H88+C109+H109+C130+H130+C151+H151+N25+S25+N46+S46+N67+S67+N88+S88+N109+S109+N130+S130+N151+S151)-(C9+H9+C30+H30+C51+H51+C72+H72+C93+H93+C114+H114+C135+H135+N9+S9+N30+S30+N51+S51+N72+S72+N93+S93+N114+S114+N135+S135)</f>
        <v>24320100</v>
      </c>
      <c r="M155" s="84"/>
      <c r="N155" s="84"/>
    </row>
    <row r="156" customFormat="false" ht="15" hidden="false" customHeight="true" outlineLevel="0" collapsed="false">
      <c r="B156" s="83" t="s">
        <v>335</v>
      </c>
      <c r="C156" s="83"/>
      <c r="D156" s="83"/>
      <c r="E156" s="83"/>
      <c r="F156" s="83"/>
      <c r="G156" s="83"/>
      <c r="H156" s="83"/>
      <c r="I156" s="83"/>
      <c r="J156" s="83"/>
      <c r="L156" s="84" t="n">
        <f aca="false">(D25+I25+D46+I46+D67+I67+D88+I88+D109+I109+D130+I130+D151+I151+O25+T25+O46+T46+O67+T67+O88+T88+O109+T109+O130+T130+O151+T151)-(D9+I9+D30+I30+D51+I51+D72+I72+D93+I93+D114+I114+D135+I135+O9+T9+O30+T30+O51+T51+O72+T72+O93+T93+O114+T114+O135+T135)</f>
        <v>24320100</v>
      </c>
      <c r="M156" s="84"/>
      <c r="N156" s="84"/>
    </row>
    <row r="157" customFormat="false" ht="15" hidden="false" customHeight="true" outlineLevel="0" collapsed="false">
      <c r="B157" s="83" t="s">
        <v>336</v>
      </c>
      <c r="C157" s="83"/>
      <c r="D157" s="83"/>
      <c r="E157" s="83"/>
      <c r="F157" s="83"/>
      <c r="G157" s="83"/>
      <c r="H157" s="83"/>
      <c r="I157" s="83"/>
      <c r="J157" s="83"/>
      <c r="L157" s="44" t="str">
        <f aca="false">IF(ABS(L155-L156)&lt;0.5,"OK","ERROR: "&amp;TEXT(L155-L156,"#,##0"))</f>
        <v>OK</v>
      </c>
      <c r="M157" s="44"/>
      <c r="N157" s="44"/>
    </row>
  </sheetData>
  <mergeCells count="39">
    <mergeCell ref="B1:T1"/>
    <mergeCell ref="D2:I2"/>
    <mergeCell ref="N2:R2"/>
    <mergeCell ref="B5:J5"/>
    <mergeCell ref="L5:T5"/>
    <mergeCell ref="B7:E7"/>
    <mergeCell ref="G7:J7"/>
    <mergeCell ref="M7:P7"/>
    <mergeCell ref="R7:U7"/>
    <mergeCell ref="B28:E28"/>
    <mergeCell ref="G28:J28"/>
    <mergeCell ref="M28:P28"/>
    <mergeCell ref="R28:U28"/>
    <mergeCell ref="B49:E49"/>
    <mergeCell ref="G49:J49"/>
    <mergeCell ref="M49:P49"/>
    <mergeCell ref="R49:U49"/>
    <mergeCell ref="B70:E70"/>
    <mergeCell ref="G70:J70"/>
    <mergeCell ref="M70:P70"/>
    <mergeCell ref="R70:U70"/>
    <mergeCell ref="B91:E91"/>
    <mergeCell ref="G91:J91"/>
    <mergeCell ref="M91:P91"/>
    <mergeCell ref="R91:U91"/>
    <mergeCell ref="B112:E112"/>
    <mergeCell ref="G112:J112"/>
    <mergeCell ref="M112:P112"/>
    <mergeCell ref="R112:U112"/>
    <mergeCell ref="B133:E133"/>
    <mergeCell ref="G133:J133"/>
    <mergeCell ref="M133:P133"/>
    <mergeCell ref="R133:U133"/>
    <mergeCell ref="B155:J155"/>
    <mergeCell ref="L155:N155"/>
    <mergeCell ref="B156:J156"/>
    <mergeCell ref="L156:N156"/>
    <mergeCell ref="B157:J157"/>
    <mergeCell ref="L157:N157"/>
  </mergeCells>
  <conditionalFormatting sqref="L157">
    <cfRule type="expression" priority="2" aboveAverage="0" equalAverage="0" bottom="0" percent="0" rank="0" text="" dxfId="0">
      <formula>L157="OK"</formula>
    </cfRule>
    <cfRule type="expression" priority="3" aboveAverage="0" equalAverage="0" bottom="0" percent="0" rank="0" text="" dxfId="1">
      <formula>LEFT(L157,5)="ERROR"</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sheetData>
    <row r="1" customFormat="false" ht="15" hidden="false" customHeight="true" outlineLevel="0" collapsed="false">
      <c r="A1" s="1" t="str">
        <f aca="false">'T-Accounts'!$B$7</f>
        <v>Cash &amp; cash equivalents</v>
      </c>
      <c r="B1" s="1" t="s">
        <v>69</v>
      </c>
      <c r="C1" s="1" t="s">
        <v>230</v>
      </c>
    </row>
    <row r="2" customFormat="false" ht="15" hidden="false" customHeight="true" outlineLevel="0" collapsed="false">
      <c r="A2" s="1" t="str">
        <f aca="false">'T-Accounts'!$G$7</f>
        <v>Marketable securities</v>
      </c>
      <c r="B2" s="1" t="s">
        <v>203</v>
      </c>
      <c r="C2" s="1" t="s">
        <v>197</v>
      </c>
    </row>
    <row r="3" customFormat="false" ht="15" hidden="false" customHeight="true" outlineLevel="0" collapsed="false">
      <c r="A3" s="1" t="str">
        <f aca="false">'T-Accounts'!$B$28</f>
        <v>Accounts receivable</v>
      </c>
      <c r="B3" s="1" t="s">
        <v>72</v>
      </c>
      <c r="C3" s="1" t="s">
        <v>221</v>
      </c>
    </row>
    <row r="4" customFormat="false" ht="15" hidden="false" customHeight="true" outlineLevel="0" collapsed="false">
      <c r="A4" s="1" t="str">
        <f aca="false">'T-Accounts'!$G$28</f>
        <v>Inventories</v>
      </c>
      <c r="B4" s="1" t="s">
        <v>233</v>
      </c>
      <c r="C4" s="1" t="s">
        <v>212</v>
      </c>
    </row>
    <row r="5" customFormat="false" ht="15" hidden="false" customHeight="true" outlineLevel="0" collapsed="false">
      <c r="A5" s="1" t="str">
        <f aca="false">'T-Accounts'!$B$49</f>
        <v>Prepaid rent / prepaid expenses</v>
      </c>
      <c r="B5" s="1" t="s">
        <v>337</v>
      </c>
    </row>
    <row r="6" customFormat="false" ht="15" hidden="false" customHeight="true" outlineLevel="0" collapsed="false">
      <c r="A6" s="1" t="str">
        <f aca="false">'T-Accounts'!$G$49</f>
        <v>Construction in progress (2019)</v>
      </c>
      <c r="B6" s="1" t="s">
        <v>338</v>
      </c>
    </row>
    <row r="7" customFormat="false" ht="15" hidden="false" customHeight="true" outlineLevel="0" collapsed="false">
      <c r="A7" s="1" t="str">
        <f aca="false">'T-Accounts'!$B$70</f>
        <v>Land</v>
      </c>
      <c r="B7" s="1" t="s">
        <v>209</v>
      </c>
    </row>
    <row r="8" customFormat="false" ht="15" hidden="false" customHeight="true" outlineLevel="0" collapsed="false">
      <c r="A8" s="1" t="str">
        <f aca="false">'T-Accounts'!$G$70</f>
        <v>Development costs – Baldnessox</v>
      </c>
      <c r="B8" s="1" t="s">
        <v>239</v>
      </c>
    </row>
    <row r="9" customFormat="false" ht="15" hidden="false" customHeight="true" outlineLevel="0" collapsed="false">
      <c r="A9" s="1" t="str">
        <f aca="false">'T-Accounts'!$B$91</f>
        <v>Buildings (old premises + new building)</v>
      </c>
      <c r="B9" s="1" t="s">
        <v>255</v>
      </c>
    </row>
    <row r="10" customFormat="false" ht="15" hidden="false" customHeight="true" outlineLevel="0" collapsed="false">
      <c r="A10" s="1" t="str">
        <f aca="false">'T-Accounts'!$G$91</f>
        <v>Accum. depreciation – Buildings</v>
      </c>
      <c r="B10" s="1" t="s">
        <v>200</v>
      </c>
    </row>
    <row r="11" customFormat="false" ht="15" hidden="false" customHeight="true" outlineLevel="0" collapsed="false">
      <c r="A11" s="1" t="str">
        <f aca="false">'T-Accounts'!$B$112</f>
        <v>Machinery &amp; production facilities</v>
      </c>
    </row>
    <row r="12" customFormat="false" ht="15" hidden="false" customHeight="true" outlineLevel="0" collapsed="false">
      <c r="A12" s="1" t="str">
        <f aca="false">'T-Accounts'!$G$112</f>
        <v>Accum. depreciation – Machinery &amp; facilities</v>
      </c>
    </row>
    <row r="13" customFormat="false" ht="15" hidden="false" customHeight="true" outlineLevel="0" collapsed="false">
      <c r="A13" s="1" t="str">
        <f aca="false">'T-Accounts'!$B$133</f>
        <v>Patent – Baldnessox molecule</v>
      </c>
    </row>
    <row r="14" customFormat="false" ht="15" hidden="false" customHeight="true" outlineLevel="0" collapsed="false">
      <c r="A14" s="1" t="str">
        <f aca="false">'T-Accounts'!$G$133</f>
        <v>Accum. amortization &amp; impairment – intangibles</v>
      </c>
    </row>
    <row r="15" customFormat="false" ht="15" hidden="false" customHeight="true" outlineLevel="0" collapsed="false">
      <c r="A15" s="1" t="str">
        <f aca="false">'T-Accounts'!$M$7</f>
        <v>Accounts payable</v>
      </c>
    </row>
    <row r="16" customFormat="false" ht="15" hidden="false" customHeight="true" outlineLevel="0" collapsed="false">
      <c r="A16" s="1" t="str">
        <f aca="false">'T-Accounts'!$R$7</f>
        <v>Salaries payable</v>
      </c>
    </row>
    <row r="17" customFormat="false" ht="15" hidden="false" customHeight="true" outlineLevel="0" collapsed="false">
      <c r="A17" s="1" t="str">
        <f aca="false">'T-Accounts'!$M$28</f>
        <v>Interest payable</v>
      </c>
    </row>
    <row r="18" customFormat="false" ht="15" hidden="false" customHeight="true" outlineLevel="0" collapsed="false">
      <c r="A18" s="1" t="str">
        <f aca="false">'T-Accounts'!$R$28</f>
        <v>Taxes payable</v>
      </c>
    </row>
    <row r="19" customFormat="false" ht="15" hidden="false" customHeight="true" outlineLevel="0" collapsed="false">
      <c r="A19" s="1" t="str">
        <f aca="false">'T-Accounts'!$M$49</f>
        <v>Deposits from customers (unearned rev.)</v>
      </c>
    </row>
    <row r="20" customFormat="false" ht="15" hidden="false" customHeight="true" outlineLevel="0" collapsed="false">
      <c r="A20" s="1" t="str">
        <f aca="false">'T-Accounts'!$R$49</f>
        <v>Dividends payable</v>
      </c>
    </row>
    <row r="21" customFormat="false" ht="15" hidden="false" customHeight="true" outlineLevel="0" collapsed="false">
      <c r="A21" s="1" t="str">
        <f aca="false">'T-Accounts'!$M$70</f>
        <v>Short-term loans / current portion LTD</v>
      </c>
    </row>
    <row r="22" customFormat="false" ht="15" hidden="false" customHeight="true" outlineLevel="0" collapsed="false">
      <c r="A22" s="1" t="str">
        <f aca="false">'T-Accounts'!$R$70</f>
        <v>Deferred income – land donation (grant)</v>
      </c>
    </row>
    <row r="23" customFormat="false" ht="15" hidden="false" customHeight="true" outlineLevel="0" collapsed="false">
      <c r="A23" s="1" t="str">
        <f aca="false">'T-Accounts'!$M$91</f>
        <v>Bank loan (5%, 20 annual instalments)</v>
      </c>
    </row>
    <row r="24" customFormat="false" ht="15" hidden="false" customHeight="true" outlineLevel="0" collapsed="false">
      <c r="A24" s="1" t="str">
        <f aca="false">'T-Accounts'!$R$91</f>
        <v>Mortgage / obligations on land &amp; bldgs</v>
      </c>
    </row>
    <row r="25" customFormat="false" ht="15" hidden="false" customHeight="true" outlineLevel="0" collapsed="false">
      <c r="A25" s="1" t="str">
        <f aca="false">'T-Accounts'!$M$112</f>
        <v>Share capital</v>
      </c>
    </row>
    <row r="26" customFormat="false" ht="15" hidden="false" customHeight="true" outlineLevel="0" collapsed="false">
      <c r="A26" s="1" t="str">
        <f aca="false">'T-Accounts'!$R$112</f>
        <v>Share premium</v>
      </c>
    </row>
    <row r="27" customFormat="false" ht="15" hidden="false" customHeight="true" outlineLevel="0" collapsed="false">
      <c r="A27" s="1" t="str">
        <f aca="false">'T-Accounts'!$M$133</f>
        <v>Retained profits</v>
      </c>
    </row>
    <row r="28" customFormat="false" ht="15" hidden="false" customHeight="true" outlineLevel="0" collapsed="false">
      <c r="A28" s="1" t="str">
        <f aca="false">'T-Accounts'!$R$133</f>
        <v>Profit &amp; loss for the period (P&amp;L)</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2026-09-28T15:52:36Z</dcterms:created>
  <dc:creator>openpyxl</dc:creator>
  <dc:description/>
  <dc:language>en-US</dc:language>
  <cp:lastModifiedBy/>
  <dcterms:modified xsi:type="dcterms:W3CDTF">2026-10-11T12:29:18Z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